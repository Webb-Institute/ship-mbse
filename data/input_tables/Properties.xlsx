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koch28\Downloads\NAVSEA RESEARCH\data\input_tables\"/>
    </mc:Choice>
  </mc:AlternateContent>
  <xr:revisionPtr revIDLastSave="0" documentId="13_ncr:1_{B5512CBF-DF7E-470A-A8F5-85EDC75619B5}" xr6:coauthVersionLast="47" xr6:coauthVersionMax="47" xr10:uidLastSave="{00000000-0000-0000-0000-000000000000}"/>
  <bookViews>
    <workbookView xWindow="-28920" yWindow="859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G39" i="1"/>
  <c r="F39" i="1"/>
  <c r="E39" i="1"/>
  <c r="D39" i="1"/>
  <c r="C39" i="1"/>
  <c r="B39" i="1"/>
  <c r="H38" i="1"/>
  <c r="G38" i="1"/>
  <c r="F38" i="1"/>
  <c r="E38" i="1"/>
  <c r="D38" i="1"/>
  <c r="C38" i="1"/>
  <c r="B38" i="1"/>
  <c r="H37" i="1"/>
  <c r="G37" i="1"/>
  <c r="F37" i="1"/>
  <c r="E37" i="1"/>
  <c r="D37" i="1"/>
  <c r="C37" i="1"/>
  <c r="B37" i="1"/>
  <c r="H36" i="1"/>
  <c r="G36" i="1"/>
  <c r="F36" i="1"/>
  <c r="E36" i="1"/>
  <c r="D36" i="1"/>
  <c r="C36" i="1"/>
  <c r="B36" i="1"/>
  <c r="H35" i="1"/>
  <c r="G35" i="1"/>
  <c r="F35" i="1"/>
  <c r="E35" i="1"/>
  <c r="D35" i="1"/>
  <c r="C35" i="1"/>
  <c r="B35" i="1"/>
  <c r="H34" i="1"/>
  <c r="G34" i="1"/>
  <c r="F34" i="1"/>
  <c r="E34" i="1"/>
  <c r="D34" i="1"/>
  <c r="C34" i="1"/>
  <c r="B34" i="1"/>
  <c r="H33" i="1"/>
  <c r="G33" i="1"/>
  <c r="F33" i="1"/>
  <c r="E33" i="1"/>
  <c r="D33" i="1"/>
  <c r="C33" i="1"/>
  <c r="B33" i="1"/>
  <c r="H32" i="1"/>
  <c r="G32" i="1"/>
  <c r="F32" i="1"/>
  <c r="E32" i="1"/>
  <c r="D32" i="1"/>
  <c r="C32" i="1"/>
  <c r="B32" i="1"/>
  <c r="H31" i="1"/>
  <c r="G31" i="1"/>
  <c r="F31" i="1"/>
  <c r="E31" i="1"/>
  <c r="D31" i="1"/>
  <c r="C31" i="1"/>
  <c r="B31" i="1"/>
  <c r="H30" i="1"/>
  <c r="G30" i="1"/>
  <c r="F30" i="1"/>
  <c r="E30" i="1"/>
  <c r="D30" i="1"/>
  <c r="C30" i="1"/>
  <c r="B30" i="1"/>
  <c r="H29" i="1"/>
  <c r="G29" i="1"/>
  <c r="F29" i="1"/>
  <c r="E29" i="1"/>
  <c r="D29" i="1"/>
  <c r="C29" i="1"/>
  <c r="B29" i="1"/>
  <c r="H28" i="1"/>
  <c r="G28" i="1"/>
  <c r="F28" i="1"/>
  <c r="E28" i="1"/>
  <c r="D28" i="1"/>
  <c r="C28" i="1"/>
  <c r="B28" i="1"/>
  <c r="H27" i="1"/>
  <c r="G27" i="1"/>
  <c r="F27" i="1"/>
  <c r="E27" i="1"/>
  <c r="D27" i="1"/>
  <c r="C27" i="1"/>
  <c r="B27" i="1"/>
  <c r="H26" i="1"/>
  <c r="G26" i="1"/>
  <c r="F26" i="1"/>
  <c r="E26" i="1"/>
  <c r="D26" i="1"/>
  <c r="C26" i="1"/>
  <c r="B26" i="1"/>
  <c r="H25" i="1"/>
  <c r="G25" i="1"/>
  <c r="F25" i="1"/>
  <c r="E25" i="1"/>
  <c r="D25" i="1"/>
  <c r="C25" i="1"/>
  <c r="B25" i="1"/>
  <c r="H24" i="1"/>
  <c r="G24" i="1"/>
  <c r="F24" i="1"/>
  <c r="E24" i="1"/>
  <c r="D24" i="1"/>
  <c r="C24" i="1"/>
  <c r="B24" i="1"/>
  <c r="H23" i="1"/>
  <c r="G23" i="1"/>
  <c r="F23" i="1"/>
  <c r="E23" i="1"/>
  <c r="D23" i="1"/>
  <c r="C23" i="1"/>
  <c r="B23" i="1"/>
  <c r="H22" i="1"/>
  <c r="G22" i="1"/>
  <c r="F22" i="1"/>
  <c r="E22" i="1"/>
  <c r="D22" i="1"/>
  <c r="C22" i="1"/>
  <c r="B22" i="1"/>
  <c r="H21" i="1"/>
  <c r="G21" i="1"/>
  <c r="F21" i="1"/>
  <c r="E21" i="1"/>
  <c r="D21" i="1"/>
  <c r="C21" i="1"/>
  <c r="B21" i="1"/>
  <c r="H20" i="1"/>
  <c r="G20" i="1"/>
  <c r="F20" i="1"/>
  <c r="E20" i="1"/>
  <c r="D20" i="1"/>
  <c r="C20" i="1"/>
  <c r="B20" i="1"/>
  <c r="H19" i="1"/>
  <c r="G19" i="1"/>
  <c r="F19" i="1"/>
  <c r="E19" i="1"/>
  <c r="D19" i="1"/>
  <c r="C19" i="1"/>
  <c r="B19" i="1"/>
  <c r="H18" i="1"/>
  <c r="G18" i="1"/>
  <c r="F18" i="1"/>
  <c r="E18" i="1"/>
  <c r="D18" i="1"/>
  <c r="C18" i="1"/>
  <c r="B18" i="1"/>
  <c r="H17" i="1"/>
  <c r="G17" i="1"/>
  <c r="F17" i="1"/>
  <c r="E17" i="1"/>
  <c r="D17" i="1"/>
  <c r="C17" i="1"/>
  <c r="B17" i="1"/>
  <c r="H16" i="1"/>
  <c r="G16" i="1"/>
  <c r="F16" i="1"/>
  <c r="E16" i="1"/>
  <c r="D16" i="1"/>
  <c r="C16" i="1"/>
  <c r="B16" i="1"/>
  <c r="J15" i="1"/>
  <c r="I15" i="1"/>
  <c r="F15" i="1"/>
  <c r="E15" i="1"/>
  <c r="D15" i="1"/>
  <c r="C15" i="1"/>
  <c r="B15" i="1"/>
  <c r="J14" i="1"/>
  <c r="I14" i="1"/>
  <c r="H14" i="1"/>
  <c r="G14" i="1"/>
  <c r="F14" i="1"/>
  <c r="E14" i="1"/>
  <c r="D14" i="1"/>
  <c r="C14" i="1"/>
  <c r="B14" i="1"/>
  <c r="F13" i="1"/>
  <c r="E13" i="1"/>
  <c r="D13" i="1"/>
  <c r="C13" i="1"/>
  <c r="B13" i="1"/>
  <c r="J12" i="1"/>
  <c r="I12" i="1"/>
  <c r="F12" i="1"/>
  <c r="E12" i="1"/>
  <c r="D12" i="1"/>
  <c r="C12" i="1"/>
  <c r="B12" i="1"/>
  <c r="J11" i="1"/>
  <c r="I11" i="1"/>
  <c r="F11" i="1"/>
  <c r="E11" i="1"/>
  <c r="D11" i="1"/>
  <c r="C11" i="1"/>
  <c r="B11" i="1"/>
  <c r="F10" i="1"/>
  <c r="E10" i="1"/>
  <c r="D10" i="1"/>
  <c r="C10" i="1"/>
  <c r="B10" i="1"/>
  <c r="J9" i="1"/>
  <c r="I9" i="1"/>
  <c r="H9" i="1"/>
  <c r="G9" i="1"/>
  <c r="F9" i="1"/>
  <c r="E9" i="1"/>
  <c r="D9" i="1"/>
  <c r="C9" i="1"/>
  <c r="B9" i="1"/>
  <c r="J8" i="1"/>
  <c r="I8" i="1"/>
  <c r="H8" i="1"/>
  <c r="G8" i="1"/>
  <c r="F8" i="1"/>
  <c r="E8" i="1"/>
  <c r="D8" i="1"/>
  <c r="C8" i="1"/>
  <c r="B8" i="1"/>
  <c r="F7" i="1"/>
  <c r="E7" i="1"/>
  <c r="D7" i="1"/>
  <c r="C7" i="1"/>
  <c r="B7" i="1"/>
  <c r="F6" i="1"/>
  <c r="E6" i="1"/>
  <c r="D6" i="1"/>
  <c r="C6" i="1"/>
  <c r="B6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<sst xmlns="http://schemas.openxmlformats.org/spreadsheetml/2006/main" count="1195" uniqueCount="96">
  <si>
    <t>Profile--&gt;</t>
  </si>
  <si>
    <t>WeightsCentersProfile</t>
  </si>
  <si>
    <t>ElectricalProfile</t>
  </si>
  <si>
    <t>FuelProfile</t>
  </si>
  <si>
    <t>CoolingProfile</t>
  </si>
  <si>
    <t>LubeProfile</t>
  </si>
  <si>
    <t>CompAirProfile</t>
  </si>
  <si>
    <t>WasteProfile</t>
  </si>
  <si>
    <t>Stereotype--&gt;</t>
  </si>
  <si>
    <t>WeightsCenters</t>
  </si>
  <si>
    <t>ElectricalConsumer</t>
  </si>
  <si>
    <t>ElectricalGenerator</t>
  </si>
  <si>
    <t>FuelConsumer</t>
  </si>
  <si>
    <t>FuelProducer</t>
  </si>
  <si>
    <t>CoolConsumer</t>
  </si>
  <si>
    <t>CoolProducer</t>
  </si>
  <si>
    <t>LubeConsumer</t>
  </si>
  <si>
    <t>LubeProducer</t>
  </si>
  <si>
    <t>AirConsumer</t>
  </si>
  <si>
    <t>AirProducer</t>
  </si>
  <si>
    <t>WasteGasProducer</t>
  </si>
  <si>
    <t>WasteSolidProducer</t>
  </si>
  <si>
    <t>WasteWaterProducer</t>
  </si>
  <si>
    <t>WasteOilProducer</t>
  </si>
  <si>
    <t>WasteReceiver</t>
  </si>
  <si>
    <t>Property--&gt;</t>
  </si>
  <si>
    <t>Weight</t>
  </si>
  <si>
    <t>LCG</t>
  </si>
  <si>
    <t>VCG</t>
  </si>
  <si>
    <t>TCG</t>
  </si>
  <si>
    <t>WeightMargin</t>
  </si>
  <si>
    <t>PowerRequired</t>
  </si>
  <si>
    <t>Status</t>
  </si>
  <si>
    <t>PowerGenerated</t>
  </si>
  <si>
    <t>FuelRequired</t>
  </si>
  <si>
    <t>FuelProduced</t>
  </si>
  <si>
    <t>FuelStored</t>
  </si>
  <si>
    <t>CoolConsumed</t>
  </si>
  <si>
    <t>CoolProduced</t>
  </si>
  <si>
    <t>LubeRequired</t>
  </si>
  <si>
    <t>LubeProduced</t>
  </si>
  <si>
    <t>AirConsumed</t>
  </si>
  <si>
    <t>AirProduced</t>
  </si>
  <si>
    <t>WGProduced</t>
  </si>
  <si>
    <t>WSProduced</t>
  </si>
  <si>
    <t>WWProduced</t>
  </si>
  <si>
    <t>WOProduced</t>
  </si>
  <si>
    <t>WGReceived</t>
  </si>
  <si>
    <t>WSReceived</t>
  </si>
  <si>
    <t>WWReceived</t>
  </si>
  <si>
    <t>WOReceived</t>
  </si>
  <si>
    <t>Component</t>
  </si>
  <si>
    <t>(t)</t>
  </si>
  <si>
    <t>(m)</t>
  </si>
  <si>
    <t>%</t>
  </si>
  <si>
    <t>(kW)</t>
  </si>
  <si>
    <t>On/Off</t>
  </si>
  <si>
    <t>kL/s</t>
  </si>
  <si>
    <t>kL</t>
  </si>
  <si>
    <t>kW</t>
  </si>
  <si>
    <t>10X (PLATE)</t>
  </si>
  <si>
    <t>N/A</t>
  </si>
  <si>
    <t>11X (FRAMING)</t>
  </si>
  <si>
    <t>12X (STIFFENERS)</t>
  </si>
  <si>
    <t>20X (MAIN ENGINE)</t>
  </si>
  <si>
    <t>21X (PROPULSORS)</t>
  </si>
  <si>
    <t>22X (SHAFTING)</t>
  </si>
  <si>
    <t>23X (POWER TRANSMISSION)</t>
  </si>
  <si>
    <t>30X (GENERATOR SETS)</t>
  </si>
  <si>
    <t>31X (POWER DISTRIBUTION)</t>
  </si>
  <si>
    <t>32X (BATTERY)</t>
  </si>
  <si>
    <t>33X (SHORE POWER)</t>
  </si>
  <si>
    <t>40X (NAVIGATION/AIS)</t>
  </si>
  <si>
    <t>41X (RADIO/SATCOM)</t>
  </si>
  <si>
    <t>42X (CONSOLES)</t>
  </si>
  <si>
    <t>43X (STEERAGE)</t>
  </si>
  <si>
    <t>44X (AIR SURVEILLANCE)</t>
  </si>
  <si>
    <t>45X (WATER SURVEILLANCE)</t>
  </si>
  <si>
    <t>50X (COOLING AND FRESHWATER)</t>
  </si>
  <si>
    <t>51X (LUBE OIL)</t>
  </si>
  <si>
    <t>52X (FUEL)</t>
  </si>
  <si>
    <t>53X (COMPRESSED AIR)</t>
  </si>
  <si>
    <t>54X (BALLAST AND SALTWATER)</t>
  </si>
  <si>
    <t>55X (CARGO/MISSION)</t>
  </si>
  <si>
    <t>56X (DECK MACHINERY)</t>
  </si>
  <si>
    <t>57X (WASTE MANAGEMENT)</t>
  </si>
  <si>
    <t>58X (FIRE)</t>
  </si>
  <si>
    <t>59X (HOTEL)</t>
  </si>
  <si>
    <t>60X (ACCOMODATION)</t>
  </si>
  <si>
    <t>61X (SHOPS)</t>
  </si>
  <si>
    <t>62X (LSA)</t>
  </si>
  <si>
    <t>70X (ASW)</t>
  </si>
  <si>
    <t>71X (SS)</t>
  </si>
  <si>
    <t>72X (SA)</t>
  </si>
  <si>
    <t>73X (EW)</t>
  </si>
  <si>
    <t>74X (COUNTERMEASURES)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</si>
</sst>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39"/>
  <sheetViews>
    <sheetView tabSelected="1" topLeftCell="A7" workbookViewId="0">
      <pane xSplit="1" topLeftCell="Q1" activePane="topRight" state="frozen"/>
      <selection activeCell="A5" sqref="A5"/>
      <selection pane="topRight" activeCell="AA26" sqref="AA26"/>
    </sheetView>
  </sheetViews>
  <sheetFormatPr defaultRowHeight="14.4" x14ac:dyDescent="0.55000000000000004"/>
  <cols>
    <col min="1" max="1" width="29.7890625" customWidth="1"/>
    <col min="2" max="2" width="21.89453125" customWidth="1"/>
    <col min="3" max="3" width="22.9453125" customWidth="1"/>
    <col min="4" max="4" width="22.68359375" customWidth="1"/>
    <col min="5" max="5" width="21.3671875" customWidth="1"/>
    <col min="6" max="6" width="22.41796875" customWidth="1"/>
    <col min="7" max="7" width="15.41796875" customWidth="1"/>
    <col min="8" max="8" width="16.62890625" customWidth="1"/>
    <col min="9" max="9" width="19.7890625" customWidth="1"/>
    <col min="10" max="10" width="14.62890625" customWidth="1"/>
    <col min="11" max="11" width="15.41796875" customWidth="1"/>
    <col min="12" max="12" width="18.20703125" customWidth="1"/>
    <col min="13" max="13" width="15.41796875" customWidth="1"/>
    <col min="14" max="14" width="19.7890625" customWidth="1"/>
    <col min="15" max="15" width="14.89453125" customWidth="1"/>
    <col min="16" max="16" width="13.734375" customWidth="1"/>
    <col min="17" max="17" width="15.3125" customWidth="1"/>
    <col min="18" max="18" width="13.83984375" customWidth="1"/>
    <col min="19" max="19" width="16.20703125" customWidth="1"/>
    <col min="20" max="20" width="13.83984375" customWidth="1"/>
    <col min="21" max="21" width="14.20703125" customWidth="1"/>
    <col min="22" max="22" width="14.5234375" customWidth="1"/>
    <col min="23" max="23" width="13.734375" customWidth="1"/>
    <col min="24" max="24" width="13.05078125" customWidth="1"/>
    <col min="25" max="25" width="13.578125" customWidth="1"/>
    <col min="26" max="26" width="15.05078125" customWidth="1"/>
    <col min="27" max="27" width="15.578125" customWidth="1"/>
    <col min="28" max="28" width="13.47265625" customWidth="1"/>
    <col min="29" max="29" width="11.89453125" customWidth="1"/>
    <col min="30" max="30" width="14.5234375" customWidth="1"/>
    <col min="31" max="31" width="13.20703125" customWidth="1"/>
    <col min="32" max="32" width="13.47265625" customWidth="1"/>
    <col min="33" max="33" width="13.83984375" customWidth="1"/>
    <col min="34" max="34" width="14.1015625" customWidth="1"/>
    <col min="35" max="35" width="14.5234375" customWidth="1"/>
    <col min="36" max="36" width="14.3671875" customWidth="1"/>
    <col min="37" max="37" width="14.26171875" customWidth="1"/>
    <col min="38" max="38" width="13.05078125" customWidth="1"/>
    <col min="39" max="39" width="14.26171875" customWidth="1"/>
    <col min="40" max="40" width="12.9453125" customWidth="1"/>
  </cols>
  <sheetData>
    <row r="1" spans="1:40" x14ac:dyDescent="0.55000000000000004">
      <c r="A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2</v>
      </c>
      <c r="H1" t="s">
        <v>2</v>
      </c>
      <c r="I1" t="s">
        <v>2</v>
      </c>
      <c r="J1" t="s">
        <v>2</v>
      </c>
      <c r="K1" t="s">
        <v>3</v>
      </c>
      <c r="L1" t="s">
        <v>3</v>
      </c>
      <c r="M1" t="s">
        <v>3</v>
      </c>
      <c r="N1" t="s">
        <v>3</v>
      </c>
      <c r="O1" t="s">
        <v>3</v>
      </c>
      <c r="P1" t="s">
        <v>4</v>
      </c>
      <c r="Q1" t="s">
        <v>4</v>
      </c>
      <c r="R1" t="s">
        <v>4</v>
      </c>
      <c r="S1" t="s">
        <v>4</v>
      </c>
      <c r="T1" t="s">
        <v>5</v>
      </c>
      <c r="U1" t="s">
        <v>5</v>
      </c>
      <c r="V1" t="s">
        <v>5</v>
      </c>
      <c r="W1" t="s">
        <v>5</v>
      </c>
      <c r="X1" t="s">
        <v>6</v>
      </c>
      <c r="Y1" t="s">
        <v>6</v>
      </c>
      <c r="Z1" t="s">
        <v>6</v>
      </c>
      <c r="AA1" t="s">
        <v>6</v>
      </c>
      <c r="AB1" t="s">
        <v>7</v>
      </c>
      <c r="AC1" t="s">
        <v>7</v>
      </c>
      <c r="AD1" t="s">
        <v>7</v>
      </c>
      <c r="AE1" t="s">
        <v>7</v>
      </c>
      <c r="AF1" t="s">
        <v>7</v>
      </c>
      <c r="AG1" t="s">
        <v>7</v>
      </c>
      <c r="AH1" t="s">
        <v>7</v>
      </c>
      <c r="AI1" t="s">
        <v>7</v>
      </c>
      <c r="AJ1" t="s">
        <v>7</v>
      </c>
      <c r="AK1" t="s">
        <v>7</v>
      </c>
      <c r="AL1" t="s">
        <v>7</v>
      </c>
      <c r="AM1" t="s">
        <v>7</v>
      </c>
      <c r="AN1" t="s">
        <v>7</v>
      </c>
    </row>
    <row r="2" spans="1:40" x14ac:dyDescent="0.55000000000000004">
      <c r="A2" t="s">
        <v>8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10</v>
      </c>
      <c r="H2" t="s">
        <v>10</v>
      </c>
      <c r="I2" t="s">
        <v>11</v>
      </c>
      <c r="J2" t="s">
        <v>11</v>
      </c>
      <c r="K2" t="s">
        <v>12</v>
      </c>
      <c r="L2" t="s">
        <v>12</v>
      </c>
      <c r="M2" t="s">
        <v>13</v>
      </c>
      <c r="N2" t="s">
        <v>13</v>
      </c>
      <c r="O2" t="s">
        <v>13</v>
      </c>
      <c r="P2" t="s">
        <v>14</v>
      </c>
      <c r="Q2" t="s">
        <v>14</v>
      </c>
      <c r="R2" t="s">
        <v>15</v>
      </c>
      <c r="S2" t="s">
        <v>15</v>
      </c>
      <c r="T2" t="s">
        <v>16</v>
      </c>
      <c r="U2" t="s">
        <v>16</v>
      </c>
      <c r="V2" t="s">
        <v>17</v>
      </c>
      <c r="W2" t="s">
        <v>17</v>
      </c>
      <c r="X2" t="s">
        <v>18</v>
      </c>
      <c r="Y2" t="s">
        <v>18</v>
      </c>
      <c r="Z2" t="s">
        <v>19</v>
      </c>
      <c r="AA2" t="s">
        <v>19</v>
      </c>
      <c r="AB2" t="s">
        <v>20</v>
      </c>
      <c r="AC2" t="s">
        <v>20</v>
      </c>
      <c r="AD2" t="s">
        <v>21</v>
      </c>
      <c r="AE2" t="s">
        <v>21</v>
      </c>
      <c r="AF2" t="s">
        <v>22</v>
      </c>
      <c r="AG2" t="s">
        <v>22</v>
      </c>
      <c r="AH2" t="s">
        <v>23</v>
      </c>
      <c r="AI2" t="s">
        <v>23</v>
      </c>
      <c r="AJ2" t="s">
        <v>24</v>
      </c>
      <c r="AK2" t="s">
        <v>24</v>
      </c>
      <c r="AL2" t="s">
        <v>24</v>
      </c>
      <c r="AM2" t="s">
        <v>24</v>
      </c>
      <c r="AN2" t="s">
        <v>24</v>
      </c>
    </row>
    <row r="3" spans="1:40" x14ac:dyDescent="0.55000000000000004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33</v>
      </c>
      <c r="J3" t="s">
        <v>32</v>
      </c>
      <c r="K3" t="s">
        <v>34</v>
      </c>
      <c r="L3" t="s">
        <v>32</v>
      </c>
      <c r="M3" t="s">
        <v>35</v>
      </c>
      <c r="N3" t="s">
        <v>36</v>
      </c>
      <c r="O3" t="s">
        <v>32</v>
      </c>
      <c r="P3" t="s">
        <v>37</v>
      </c>
      <c r="Q3" t="s">
        <v>32</v>
      </c>
      <c r="R3" t="s">
        <v>38</v>
      </c>
      <c r="S3" t="s">
        <v>32</v>
      </c>
      <c r="T3" t="s">
        <v>39</v>
      </c>
      <c r="U3" t="s">
        <v>32</v>
      </c>
      <c r="V3" t="s">
        <v>40</v>
      </c>
      <c r="W3" t="s">
        <v>32</v>
      </c>
      <c r="X3" t="s">
        <v>41</v>
      </c>
      <c r="Y3" t="s">
        <v>32</v>
      </c>
      <c r="Z3" t="s">
        <v>42</v>
      </c>
      <c r="AA3" t="s">
        <v>32</v>
      </c>
      <c r="AB3" t="s">
        <v>43</v>
      </c>
      <c r="AC3" t="s">
        <v>32</v>
      </c>
      <c r="AD3" t="s">
        <v>44</v>
      </c>
      <c r="AE3" t="s">
        <v>32</v>
      </c>
      <c r="AF3" t="s">
        <v>45</v>
      </c>
      <c r="AG3" t="s">
        <v>32</v>
      </c>
      <c r="AH3" t="s">
        <v>46</v>
      </c>
      <c r="AI3" t="s">
        <v>32</v>
      </c>
      <c r="AJ3" t="s">
        <v>47</v>
      </c>
      <c r="AK3" t="s">
        <v>32</v>
      </c>
      <c r="AL3" t="s">
        <v>48</v>
      </c>
      <c r="AM3" t="s">
        <v>49</v>
      </c>
      <c r="AN3" t="s">
        <v>50</v>
      </c>
    </row>
    <row r="4" spans="1:40" x14ac:dyDescent="0.55000000000000004">
      <c r="A4" t="s">
        <v>51</v>
      </c>
      <c r="B4" t="s">
        <v>52</v>
      </c>
      <c r="C4" t="s">
        <v>53</v>
      </c>
      <c r="D4" t="s">
        <v>53</v>
      </c>
      <c r="E4" t="s">
        <v>53</v>
      </c>
      <c r="F4" t="s">
        <v>54</v>
      </c>
      <c r="G4" t="s">
        <v>55</v>
      </c>
      <c r="H4" t="s">
        <v>56</v>
      </c>
      <c r="I4" t="s">
        <v>55</v>
      </c>
      <c r="J4" t="s">
        <v>56</v>
      </c>
      <c r="K4" t="s">
        <v>57</v>
      </c>
      <c r="L4" t="s">
        <v>56</v>
      </c>
      <c r="M4" t="s">
        <v>57</v>
      </c>
      <c r="N4" t="s">
        <v>58</v>
      </c>
      <c r="O4" t="s">
        <v>56</v>
      </c>
      <c r="P4" t="s">
        <v>59</v>
      </c>
      <c r="Q4" t="s">
        <v>56</v>
      </c>
      <c r="R4" t="s">
        <v>59</v>
      </c>
      <c r="S4" t="s">
        <v>56</v>
      </c>
      <c r="T4" t="s">
        <v>57</v>
      </c>
      <c r="U4" t="s">
        <v>56</v>
      </c>
      <c r="V4" t="s">
        <v>57</v>
      </c>
      <c r="W4" t="s">
        <v>56</v>
      </c>
      <c r="X4" t="s">
        <v>57</v>
      </c>
      <c r="Y4" t="s">
        <v>56</v>
      </c>
      <c r="Z4" t="s">
        <v>57</v>
      </c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I4" t="s">
        <v>56</v>
      </c>
      <c r="AJ4" t="s">
        <v>57</v>
      </c>
      <c r="AK4" t="s">
        <v>56</v>
      </c>
      <c r="AL4" t="s">
        <v>57</v>
      </c>
      <c r="AM4" t="s">
        <v>57</v>
      </c>
      <c r="AN4" t="s">
        <v>57</v>
      </c>
    </row>
    <row r="5" spans="1:40" x14ac:dyDescent="0.55000000000000004">
      <c r="A5" t="s">
        <v>60</v>
      </c>
      <c r="B5">
        <f ca="1">RANDBETWEEN(10,1000)</f>
        <v>374</v>
      </c>
      <c r="C5">
        <f ca="1">RANDBETWEEN(0,200)</f>
        <v>60</v>
      </c>
      <c r="D5">
        <f ca="1">RANDBETWEEN(0,35)</f>
        <v>3</v>
      </c>
      <c r="E5">
        <f ca="1">RANDBETWEEN(-10,10)</f>
        <v>7</v>
      </c>
      <c r="F5">
        <f ca="1">RANDBETWEEN(0,20)</f>
        <v>16</v>
      </c>
      <c r="G5" t="s">
        <v>61</v>
      </c>
      <c r="H5" t="s">
        <v>61</v>
      </c>
      <c r="I5" t="s">
        <v>61</v>
      </c>
      <c r="J5" t="s">
        <v>61</v>
      </c>
      <c r="K5" t="s">
        <v>61</v>
      </c>
      <c r="L5" t="s">
        <v>61</v>
      </c>
      <c r="M5" t="s">
        <v>61</v>
      </c>
      <c r="N5" t="s">
        <v>61</v>
      </c>
      <c r="O5" t="s">
        <v>61</v>
      </c>
      <c r="P5" t="s">
        <v>61</v>
      </c>
      <c r="Q5" t="s">
        <v>61</v>
      </c>
      <c r="R5" t="s">
        <v>61</v>
      </c>
      <c r="S5" t="s">
        <v>61</v>
      </c>
      <c r="T5" t="s">
        <v>61</v>
      </c>
      <c r="U5" t="s">
        <v>61</v>
      </c>
      <c r="V5" t="s">
        <v>61</v>
      </c>
      <c r="W5" t="s">
        <v>61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</row>
    <row r="6" spans="1:40" x14ac:dyDescent="0.55000000000000004">
      <c r="A6" t="s">
        <v>62</v>
      </c>
      <c r="B6">
        <f t="shared" ref="B6:B39" ca="1" si="0">RANDBETWEEN(10,1000)</f>
        <v>466</v>
      </c>
      <c r="C6">
        <f t="shared" ref="C6:C39" ca="1" si="1">RANDBETWEEN(0,200)</f>
        <v>36</v>
      </c>
      <c r="D6">
        <f t="shared" ref="D6:D39" ca="1" si="2">RANDBETWEEN(0,35)</f>
        <v>33</v>
      </c>
      <c r="E6">
        <f t="shared" ref="E6:E39" ca="1" si="3">RANDBETWEEN(-10,10)</f>
        <v>-5</v>
      </c>
      <c r="F6">
        <f t="shared" ref="F6:G39" ca="1" si="4">RANDBETWEEN(0,20)</f>
        <v>0</v>
      </c>
      <c r="G6" t="s">
        <v>61</v>
      </c>
      <c r="H6" t="s">
        <v>61</v>
      </c>
      <c r="I6" t="s">
        <v>61</v>
      </c>
      <c r="J6" t="s">
        <v>61</v>
      </c>
      <c r="K6" t="s">
        <v>61</v>
      </c>
      <c r="L6" t="s">
        <v>61</v>
      </c>
      <c r="M6" t="s">
        <v>61</v>
      </c>
      <c r="N6" t="s">
        <v>61</v>
      </c>
      <c r="O6" t="s">
        <v>61</v>
      </c>
      <c r="P6" t="s">
        <v>61</v>
      </c>
      <c r="Q6" t="s">
        <v>61</v>
      </c>
      <c r="R6" t="s">
        <v>61</v>
      </c>
      <c r="S6" t="s">
        <v>61</v>
      </c>
      <c r="T6" t="s">
        <v>61</v>
      </c>
      <c r="U6" t="s">
        <v>61</v>
      </c>
      <c r="V6" t="s">
        <v>61</v>
      </c>
      <c r="W6" t="s">
        <v>61</v>
      </c>
      <c r="X6" t="s">
        <v>61</v>
      </c>
      <c r="Y6" t="s">
        <v>61</v>
      </c>
      <c r="Z6" t="s">
        <v>61</v>
      </c>
      <c r="AA6" t="s">
        <v>61</v>
      </c>
      <c r="AB6" t="s">
        <v>61</v>
      </c>
      <c r="AC6" t="s">
        <v>61</v>
      </c>
      <c r="AD6" t="s">
        <v>61</v>
      </c>
      <c r="AE6" t="s">
        <v>61</v>
      </c>
      <c r="AF6" t="s">
        <v>61</v>
      </c>
      <c r="AG6" t="s">
        <v>61</v>
      </c>
      <c r="AH6" t="s">
        <v>61</v>
      </c>
      <c r="AI6" t="s">
        <v>61</v>
      </c>
      <c r="AJ6" t="s">
        <v>61</v>
      </c>
      <c r="AK6" t="s">
        <v>61</v>
      </c>
      <c r="AL6" t="s">
        <v>61</v>
      </c>
      <c r="AM6" t="s">
        <v>61</v>
      </c>
      <c r="AN6" t="s">
        <v>61</v>
      </c>
    </row>
    <row r="7" spans="1:40" x14ac:dyDescent="0.55000000000000004">
      <c r="A7" t="s">
        <v>63</v>
      </c>
      <c r="B7">
        <f t="shared" ca="1" si="0"/>
        <v>470</v>
      </c>
      <c r="C7">
        <f t="shared" ca="1" si="1"/>
        <v>23</v>
      </c>
      <c r="D7">
        <f t="shared" ca="1" si="2"/>
        <v>13</v>
      </c>
      <c r="E7">
        <f t="shared" ca="1" si="3"/>
        <v>0</v>
      </c>
      <c r="F7">
        <f t="shared" ca="1" si="4"/>
        <v>15</v>
      </c>
      <c r="G7" t="s">
        <v>61</v>
      </c>
      <c r="H7" t="s">
        <v>61</v>
      </c>
      <c r="I7" t="s">
        <v>61</v>
      </c>
      <c r="J7" t="s">
        <v>61</v>
      </c>
      <c r="K7" t="s">
        <v>61</v>
      </c>
      <c r="L7" t="s">
        <v>61</v>
      </c>
      <c r="M7" t="s">
        <v>61</v>
      </c>
      <c r="N7" t="s">
        <v>61</v>
      </c>
      <c r="O7" t="s">
        <v>61</v>
      </c>
      <c r="P7" t="s">
        <v>61</v>
      </c>
      <c r="Q7" t="s">
        <v>61</v>
      </c>
      <c r="R7" t="s">
        <v>61</v>
      </c>
      <c r="S7" t="s">
        <v>61</v>
      </c>
      <c r="T7" t="s">
        <v>61</v>
      </c>
      <c r="U7" t="s">
        <v>61</v>
      </c>
      <c r="V7" t="s">
        <v>61</v>
      </c>
      <c r="W7" t="s">
        <v>61</v>
      </c>
      <c r="X7" t="s">
        <v>61</v>
      </c>
      <c r="Y7" t="s">
        <v>61</v>
      </c>
      <c r="Z7" t="s">
        <v>61</v>
      </c>
      <c r="AA7" t="s">
        <v>61</v>
      </c>
      <c r="AB7" t="s">
        <v>61</v>
      </c>
      <c r="AC7" t="s">
        <v>61</v>
      </c>
      <c r="AD7" t="s">
        <v>61</v>
      </c>
      <c r="AE7" t="s">
        <v>61</v>
      </c>
      <c r="AF7" t="s">
        <v>61</v>
      </c>
      <c r="AG7" t="s">
        <v>61</v>
      </c>
      <c r="AH7" t="s">
        <v>61</v>
      </c>
      <c r="AI7" t="s">
        <v>61</v>
      </c>
      <c r="AJ7" t="s">
        <v>61</v>
      </c>
      <c r="AK7" t="s">
        <v>61</v>
      </c>
      <c r="AL7" t="s">
        <v>61</v>
      </c>
      <c r="AM7" t="s">
        <v>61</v>
      </c>
      <c r="AN7" t="s">
        <v>61</v>
      </c>
    </row>
    <row r="8" spans="1:40" x14ac:dyDescent="0.55000000000000004">
      <c r="A8" t="s">
        <v>64</v>
      </c>
      <c r="B8">
        <f t="shared" ca="1" si="0"/>
        <v>975</v>
      </c>
      <c r="C8">
        <f t="shared" ca="1" si="1"/>
        <v>24</v>
      </c>
      <c r="D8">
        <f t="shared" ca="1" si="2"/>
        <v>1</v>
      </c>
      <c r="E8">
        <f t="shared" ca="1" si="3"/>
        <v>0</v>
      </c>
      <c r="F8">
        <f t="shared" ca="1" si="4"/>
        <v>7</v>
      </c>
      <c r="G8">
        <f t="shared" ca="1" si="4"/>
        <v>3</v>
      </c>
      <c r="H8" t="b">
        <f t="shared" ref="H8:H39" ca="1" si="5">IF(RANDBETWEEN(1,2)=1, TRUE, FALSE)</f>
        <v>1</v>
      </c>
      <c r="I8">
        <f t="shared" ref="I8:I15" ca="1" si="6">RANDBETWEEN(100,200)</f>
        <v>171</v>
      </c>
      <c r="J8" t="b">
        <f t="shared" ref="J8:J15" ca="1" si="7">IF(RANDBETWEEN(1,2)=1, TRUE, FALSE)</f>
        <v>1</v>
      </c>
      <c r="K8">
        <v>50</v>
      </c>
      <c r="L8" t="b">
        <v>1</v>
      </c>
      <c r="M8" t="s">
        <v>61</v>
      </c>
      <c r="N8" t="s">
        <v>61</v>
      </c>
      <c r="O8" t="s">
        <v>61</v>
      </c>
      <c r="P8">
        <v>1</v>
      </c>
      <c r="Q8" t="b">
        <v>1</v>
      </c>
      <c r="R8" t="s">
        <v>61</v>
      </c>
      <c r="S8" t="s">
        <v>61</v>
      </c>
      <c r="T8">
        <v>1</v>
      </c>
      <c r="U8" t="b">
        <v>1</v>
      </c>
      <c r="V8" t="s">
        <v>61</v>
      </c>
      <c r="W8" t="s">
        <v>61</v>
      </c>
      <c r="X8">
        <v>1</v>
      </c>
      <c r="Y8" t="b">
        <v>1</v>
      </c>
      <c r="Z8" t="s">
        <v>61</v>
      </c>
      <c r="AA8" t="s">
        <v>61</v>
      </c>
      <c r="AB8">
        <v>12</v>
      </c>
      <c r="AC8" t="b">
        <v>1</v>
      </c>
      <c r="AD8" t="s">
        <v>61</v>
      </c>
      <c r="AE8" t="s">
        <v>61</v>
      </c>
      <c r="AF8" t="s">
        <v>61</v>
      </c>
      <c r="AG8" t="s">
        <v>61</v>
      </c>
      <c r="AH8" t="s">
        <v>61</v>
      </c>
      <c r="AI8" t="s">
        <v>61</v>
      </c>
      <c r="AJ8" t="s">
        <v>61</v>
      </c>
      <c r="AK8" t="s">
        <v>61</v>
      </c>
      <c r="AL8" t="s">
        <v>61</v>
      </c>
      <c r="AM8" t="s">
        <v>61</v>
      </c>
      <c r="AN8" t="s">
        <v>61</v>
      </c>
    </row>
    <row r="9" spans="1:40" x14ac:dyDescent="0.55000000000000004">
      <c r="A9" t="s">
        <v>65</v>
      </c>
      <c r="B9">
        <f t="shared" ca="1" si="0"/>
        <v>614</v>
      </c>
      <c r="C9">
        <f t="shared" ca="1" si="1"/>
        <v>143</v>
      </c>
      <c r="D9">
        <f t="shared" ca="1" si="2"/>
        <v>19</v>
      </c>
      <c r="E9">
        <f t="shared" ca="1" si="3"/>
        <v>-4</v>
      </c>
      <c r="F9">
        <f t="shared" ca="1" si="4"/>
        <v>8</v>
      </c>
      <c r="G9">
        <f t="shared" ca="1" si="4"/>
        <v>15</v>
      </c>
      <c r="H9" t="b">
        <f t="shared" ca="1" si="5"/>
        <v>0</v>
      </c>
      <c r="I9">
        <f t="shared" ca="1" si="6"/>
        <v>148</v>
      </c>
      <c r="J9" t="b">
        <f t="shared" ca="1" si="7"/>
        <v>1</v>
      </c>
      <c r="K9" t="s">
        <v>61</v>
      </c>
      <c r="L9" t="s">
        <v>61</v>
      </c>
      <c r="M9" t="s">
        <v>61</v>
      </c>
      <c r="N9" t="s">
        <v>61</v>
      </c>
      <c r="O9" t="s">
        <v>61</v>
      </c>
      <c r="P9">
        <v>1</v>
      </c>
      <c r="Q9" t="b">
        <v>1</v>
      </c>
      <c r="R9" t="s">
        <v>61</v>
      </c>
      <c r="S9" t="s">
        <v>61</v>
      </c>
      <c r="T9">
        <v>1</v>
      </c>
      <c r="U9" t="b">
        <v>1</v>
      </c>
      <c r="V9" t="s">
        <v>61</v>
      </c>
      <c r="W9" t="s">
        <v>61</v>
      </c>
      <c r="X9">
        <v>1</v>
      </c>
      <c r="Y9" t="b">
        <v>1</v>
      </c>
      <c r="Z9" t="s">
        <v>61</v>
      </c>
      <c r="AA9" t="s">
        <v>61</v>
      </c>
      <c r="AB9" t="s">
        <v>61</v>
      </c>
      <c r="AC9" t="s">
        <v>61</v>
      </c>
      <c r="AD9" t="s">
        <v>61</v>
      </c>
      <c r="AE9" t="s">
        <v>61</v>
      </c>
      <c r="AF9" t="s">
        <v>61</v>
      </c>
      <c r="AG9" t="s">
        <v>61</v>
      </c>
      <c r="AH9" t="s">
        <v>61</v>
      </c>
      <c r="AI9" t="s">
        <v>61</v>
      </c>
      <c r="AJ9" t="s">
        <v>61</v>
      </c>
      <c r="AK9" t="s">
        <v>61</v>
      </c>
      <c r="AL9" t="s">
        <v>61</v>
      </c>
      <c r="AM9" t="s">
        <v>61</v>
      </c>
      <c r="AN9" t="s">
        <v>61</v>
      </c>
    </row>
    <row r="10" spans="1:40" x14ac:dyDescent="0.55000000000000004">
      <c r="A10" t="s">
        <v>66</v>
      </c>
      <c r="B10">
        <f t="shared" ca="1" si="0"/>
        <v>849</v>
      </c>
      <c r="C10">
        <f t="shared" ca="1" si="1"/>
        <v>131</v>
      </c>
      <c r="D10">
        <f t="shared" ca="1" si="2"/>
        <v>22</v>
      </c>
      <c r="E10">
        <f t="shared" ca="1" si="3"/>
        <v>-6</v>
      </c>
      <c r="F10">
        <f t="shared" ca="1" si="4"/>
        <v>2</v>
      </c>
      <c r="G10" t="s">
        <v>61</v>
      </c>
      <c r="H10" t="s">
        <v>61</v>
      </c>
      <c r="I10" t="s">
        <v>61</v>
      </c>
      <c r="J10" t="s">
        <v>61</v>
      </c>
      <c r="K10" t="s">
        <v>61</v>
      </c>
      <c r="L10" t="s">
        <v>61</v>
      </c>
      <c r="M10" t="s">
        <v>61</v>
      </c>
      <c r="N10" t="s">
        <v>61</v>
      </c>
      <c r="O10" t="s">
        <v>61</v>
      </c>
      <c r="P10" t="s">
        <v>61</v>
      </c>
      <c r="Q10" t="s">
        <v>61</v>
      </c>
      <c r="R10" t="s">
        <v>61</v>
      </c>
      <c r="S10" t="s">
        <v>61</v>
      </c>
      <c r="T10">
        <v>1</v>
      </c>
      <c r="U10" t="b">
        <v>1</v>
      </c>
      <c r="V10" t="s">
        <v>61</v>
      </c>
      <c r="W10" t="s">
        <v>61</v>
      </c>
      <c r="X10">
        <v>1</v>
      </c>
      <c r="Y10" t="b">
        <v>1</v>
      </c>
      <c r="Z10" t="s">
        <v>61</v>
      </c>
      <c r="AA10" t="s">
        <v>61</v>
      </c>
      <c r="AB10" t="s">
        <v>61</v>
      </c>
      <c r="AC10" t="s">
        <v>61</v>
      </c>
      <c r="AD10" t="s">
        <v>61</v>
      </c>
      <c r="AE10" t="s">
        <v>61</v>
      </c>
      <c r="AF10" t="s">
        <v>61</v>
      </c>
      <c r="AG10" t="s">
        <v>61</v>
      </c>
      <c r="AH10" t="s">
        <v>61</v>
      </c>
      <c r="AI10" t="s">
        <v>61</v>
      </c>
      <c r="AJ10" t="s">
        <v>61</v>
      </c>
      <c r="AK10" t="s">
        <v>61</v>
      </c>
      <c r="AL10" t="s">
        <v>61</v>
      </c>
      <c r="AM10" t="s">
        <v>61</v>
      </c>
      <c r="AN10" t="s">
        <v>61</v>
      </c>
    </row>
    <row r="11" spans="1:40" x14ac:dyDescent="0.55000000000000004">
      <c r="A11" t="s">
        <v>67</v>
      </c>
      <c r="B11">
        <f t="shared" ca="1" si="0"/>
        <v>675</v>
      </c>
      <c r="C11">
        <f t="shared" ca="1" si="1"/>
        <v>137</v>
      </c>
      <c r="D11">
        <f t="shared" ca="1" si="2"/>
        <v>12</v>
      </c>
      <c r="E11">
        <f t="shared" ca="1" si="3"/>
        <v>-9</v>
      </c>
      <c r="F11">
        <f t="shared" ca="1" si="4"/>
        <v>5</v>
      </c>
      <c r="G11" t="s">
        <v>61</v>
      </c>
      <c r="H11" t="s">
        <v>61</v>
      </c>
      <c r="I11">
        <f t="shared" ca="1" si="6"/>
        <v>171</v>
      </c>
      <c r="J11" t="b">
        <f t="shared" ca="1" si="7"/>
        <v>0</v>
      </c>
      <c r="K11" t="s">
        <v>61</v>
      </c>
      <c r="L11" t="s">
        <v>61</v>
      </c>
      <c r="M11" t="s">
        <v>61</v>
      </c>
      <c r="N11" t="s">
        <v>61</v>
      </c>
      <c r="O11" t="s">
        <v>61</v>
      </c>
      <c r="P11" t="s">
        <v>61</v>
      </c>
      <c r="Q11" t="s">
        <v>61</v>
      </c>
      <c r="R11" t="s">
        <v>61</v>
      </c>
      <c r="S11" t="s">
        <v>61</v>
      </c>
      <c r="T11">
        <v>1</v>
      </c>
      <c r="U11" t="b">
        <v>1</v>
      </c>
      <c r="V11" t="s">
        <v>61</v>
      </c>
      <c r="W11" t="s">
        <v>61</v>
      </c>
      <c r="X11" t="s">
        <v>61</v>
      </c>
      <c r="Y11" t="s">
        <v>61</v>
      </c>
      <c r="Z11" t="s">
        <v>61</v>
      </c>
      <c r="AA11" t="s">
        <v>61</v>
      </c>
      <c r="AB11" t="s">
        <v>61</v>
      </c>
      <c r="AC11" t="s">
        <v>61</v>
      </c>
      <c r="AD11" t="s">
        <v>61</v>
      </c>
      <c r="AE11" t="s">
        <v>61</v>
      </c>
      <c r="AF11" t="s">
        <v>61</v>
      </c>
      <c r="AG11" t="s">
        <v>61</v>
      </c>
      <c r="AH11" t="s">
        <v>61</v>
      </c>
      <c r="AI11" t="s">
        <v>61</v>
      </c>
      <c r="AJ11" t="s">
        <v>61</v>
      </c>
      <c r="AK11" t="s">
        <v>61</v>
      </c>
      <c r="AL11" t="s">
        <v>61</v>
      </c>
      <c r="AM11" t="s">
        <v>61</v>
      </c>
      <c r="AN11" t="s">
        <v>61</v>
      </c>
    </row>
    <row r="12" spans="1:40" x14ac:dyDescent="0.55000000000000004">
      <c r="A12" t="s">
        <v>68</v>
      </c>
      <c r="B12">
        <f t="shared" ca="1" si="0"/>
        <v>535</v>
      </c>
      <c r="C12">
        <f t="shared" ca="1" si="1"/>
        <v>74</v>
      </c>
      <c r="D12">
        <f t="shared" ca="1" si="2"/>
        <v>0</v>
      </c>
      <c r="E12">
        <f t="shared" ca="1" si="3"/>
        <v>-10</v>
      </c>
      <c r="F12">
        <f t="shared" ca="1" si="4"/>
        <v>2</v>
      </c>
      <c r="G12" t="s">
        <v>61</v>
      </c>
      <c r="H12" t="s">
        <v>61</v>
      </c>
      <c r="I12">
        <f t="shared" ca="1" si="6"/>
        <v>118</v>
      </c>
      <c r="J12" t="b">
        <f t="shared" ca="1" si="7"/>
        <v>1</v>
      </c>
      <c r="K12">
        <v>15</v>
      </c>
      <c r="L12" t="b">
        <v>1</v>
      </c>
      <c r="M12" t="s">
        <v>61</v>
      </c>
      <c r="N12" t="s">
        <v>61</v>
      </c>
      <c r="O12" t="s">
        <v>61</v>
      </c>
      <c r="P12" t="s">
        <v>61</v>
      </c>
      <c r="Q12" t="s">
        <v>61</v>
      </c>
      <c r="R12" t="s">
        <v>61</v>
      </c>
      <c r="S12" t="s">
        <v>61</v>
      </c>
      <c r="T12">
        <v>1</v>
      </c>
      <c r="U12" t="b">
        <v>1</v>
      </c>
      <c r="V12" t="s">
        <v>61</v>
      </c>
      <c r="W12" t="s">
        <v>61</v>
      </c>
      <c r="X12">
        <v>1</v>
      </c>
      <c r="Y12" t="b">
        <v>1</v>
      </c>
      <c r="Z12" t="s">
        <v>61</v>
      </c>
      <c r="AA12" t="s">
        <v>61</v>
      </c>
      <c r="AB12">
        <v>6</v>
      </c>
      <c r="AC12" t="b">
        <v>1</v>
      </c>
      <c r="AD12" t="s">
        <v>61</v>
      </c>
      <c r="AE12" t="s">
        <v>61</v>
      </c>
      <c r="AF12" t="s">
        <v>61</v>
      </c>
      <c r="AG12" t="s">
        <v>61</v>
      </c>
      <c r="AH12" t="s">
        <v>61</v>
      </c>
      <c r="AI12" t="s">
        <v>61</v>
      </c>
      <c r="AJ12" t="s">
        <v>61</v>
      </c>
      <c r="AK12" t="s">
        <v>61</v>
      </c>
      <c r="AL12" t="s">
        <v>61</v>
      </c>
      <c r="AM12" t="s">
        <v>61</v>
      </c>
      <c r="AN12" t="s">
        <v>61</v>
      </c>
    </row>
    <row r="13" spans="1:40" x14ac:dyDescent="0.55000000000000004">
      <c r="A13" t="s">
        <v>69</v>
      </c>
      <c r="B13">
        <f t="shared" ca="1" si="0"/>
        <v>276</v>
      </c>
      <c r="C13">
        <f t="shared" ca="1" si="1"/>
        <v>25</v>
      </c>
      <c r="D13">
        <f t="shared" ca="1" si="2"/>
        <v>0</v>
      </c>
      <c r="E13">
        <f t="shared" ca="1" si="3"/>
        <v>7</v>
      </c>
      <c r="F13">
        <f t="shared" ca="1" si="4"/>
        <v>8</v>
      </c>
      <c r="G13" t="s">
        <v>61</v>
      </c>
      <c r="H13" t="s">
        <v>61</v>
      </c>
      <c r="I13" t="s">
        <v>61</v>
      </c>
      <c r="J13" t="s">
        <v>61</v>
      </c>
      <c r="K13" t="s">
        <v>61</v>
      </c>
      <c r="L13" t="s">
        <v>61</v>
      </c>
      <c r="M13" t="s">
        <v>61</v>
      </c>
      <c r="N13" t="s">
        <v>61</v>
      </c>
      <c r="O13" t="s">
        <v>61</v>
      </c>
      <c r="P13" t="s">
        <v>61</v>
      </c>
      <c r="Q13" t="s">
        <v>61</v>
      </c>
      <c r="R13" t="s">
        <v>61</v>
      </c>
      <c r="S13" t="s">
        <v>61</v>
      </c>
      <c r="T13" t="s">
        <v>61</v>
      </c>
      <c r="U13" t="s">
        <v>61</v>
      </c>
      <c r="V13" t="s">
        <v>61</v>
      </c>
      <c r="W13" t="s">
        <v>61</v>
      </c>
      <c r="X13" t="s">
        <v>61</v>
      </c>
      <c r="Y13" t="s">
        <v>61</v>
      </c>
      <c r="Z13" t="s">
        <v>61</v>
      </c>
      <c r="AA13" t="s">
        <v>61</v>
      </c>
      <c r="AB13" t="s">
        <v>61</v>
      </c>
      <c r="AC13" t="s">
        <v>61</v>
      </c>
      <c r="AD13" t="s">
        <v>61</v>
      </c>
      <c r="AE13" t="s">
        <v>61</v>
      </c>
      <c r="AF13" t="s">
        <v>61</v>
      </c>
      <c r="AG13" t="s">
        <v>61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</row>
    <row r="14" spans="1:40" x14ac:dyDescent="0.55000000000000004">
      <c r="A14" t="s">
        <v>70</v>
      </c>
      <c r="B14">
        <f t="shared" ca="1" si="0"/>
        <v>68</v>
      </c>
      <c r="C14">
        <f t="shared" ca="1" si="1"/>
        <v>5</v>
      </c>
      <c r="D14">
        <f t="shared" ca="1" si="2"/>
        <v>31</v>
      </c>
      <c r="E14">
        <f t="shared" ca="1" si="3"/>
        <v>-10</v>
      </c>
      <c r="F14">
        <f t="shared" ca="1" si="4"/>
        <v>0</v>
      </c>
      <c r="G14">
        <f t="shared" ca="1" si="4"/>
        <v>19</v>
      </c>
      <c r="H14" t="b">
        <f t="shared" ca="1" si="5"/>
        <v>1</v>
      </c>
      <c r="I14">
        <f t="shared" ca="1" si="6"/>
        <v>164</v>
      </c>
      <c r="J14" t="b">
        <f t="shared" ca="1" si="7"/>
        <v>1</v>
      </c>
      <c r="K14" t="s">
        <v>61</v>
      </c>
      <c r="L14" t="s">
        <v>61</v>
      </c>
      <c r="M14" t="s">
        <v>61</v>
      </c>
      <c r="N14" t="s">
        <v>61</v>
      </c>
      <c r="O14" t="s">
        <v>61</v>
      </c>
      <c r="P14" t="s">
        <v>61</v>
      </c>
      <c r="Q14" t="s">
        <v>61</v>
      </c>
      <c r="R14" t="s">
        <v>61</v>
      </c>
      <c r="S14" t="s">
        <v>61</v>
      </c>
      <c r="T14" t="s">
        <v>61</v>
      </c>
      <c r="U14" t="s">
        <v>61</v>
      </c>
      <c r="V14" t="s">
        <v>61</v>
      </c>
      <c r="W14" t="s">
        <v>61</v>
      </c>
      <c r="X14" t="s">
        <v>61</v>
      </c>
      <c r="Y14" t="s">
        <v>61</v>
      </c>
      <c r="Z14" t="s">
        <v>61</v>
      </c>
      <c r="AA14" t="s">
        <v>61</v>
      </c>
      <c r="AB14" t="s">
        <v>61</v>
      </c>
      <c r="AC14" t="s">
        <v>61</v>
      </c>
      <c r="AD14" t="s">
        <v>61</v>
      </c>
      <c r="AE14" t="s">
        <v>61</v>
      </c>
      <c r="AF14" t="s">
        <v>61</v>
      </c>
      <c r="AG14" t="s">
        <v>61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</row>
    <row r="15" spans="1:40" x14ac:dyDescent="0.55000000000000004">
      <c r="A15" t="s">
        <v>71</v>
      </c>
      <c r="B15">
        <f t="shared" ca="1" si="0"/>
        <v>438</v>
      </c>
      <c r="C15">
        <f t="shared" ca="1" si="1"/>
        <v>73</v>
      </c>
      <c r="D15">
        <f t="shared" ca="1" si="2"/>
        <v>31</v>
      </c>
      <c r="E15">
        <f t="shared" ca="1" si="3"/>
        <v>9</v>
      </c>
      <c r="F15">
        <f t="shared" ca="1" si="4"/>
        <v>6</v>
      </c>
      <c r="G15" t="s">
        <v>61</v>
      </c>
      <c r="H15" t="s">
        <v>61</v>
      </c>
      <c r="I15">
        <f t="shared" ca="1" si="6"/>
        <v>153</v>
      </c>
      <c r="J15" t="b">
        <f t="shared" ca="1" si="7"/>
        <v>1</v>
      </c>
      <c r="K15" t="s">
        <v>61</v>
      </c>
      <c r="L15" t="s">
        <v>61</v>
      </c>
      <c r="M15" t="s">
        <v>61</v>
      </c>
      <c r="N15" t="s">
        <v>61</v>
      </c>
      <c r="O15" t="s">
        <v>61</v>
      </c>
      <c r="P15" t="s">
        <v>61</v>
      </c>
      <c r="Q15" t="s">
        <v>61</v>
      </c>
      <c r="R15" t="s">
        <v>61</v>
      </c>
      <c r="S15" t="s">
        <v>61</v>
      </c>
      <c r="T15" t="s">
        <v>61</v>
      </c>
      <c r="U15" t="s">
        <v>61</v>
      </c>
      <c r="V15" t="s">
        <v>61</v>
      </c>
      <c r="W15" t="s">
        <v>61</v>
      </c>
      <c r="X15" t="s">
        <v>61</v>
      </c>
      <c r="Y15" t="s">
        <v>61</v>
      </c>
      <c r="Z15" t="s">
        <v>61</v>
      </c>
      <c r="AA15" t="s">
        <v>61</v>
      </c>
      <c r="AB15" t="s">
        <v>61</v>
      </c>
      <c r="AC15" t="s">
        <v>61</v>
      </c>
      <c r="AD15" t="s">
        <v>61</v>
      </c>
      <c r="AE15" t="s">
        <v>61</v>
      </c>
      <c r="AF15" t="s">
        <v>61</v>
      </c>
      <c r="AG15" t="s">
        <v>61</v>
      </c>
      <c r="AH15" t="s">
        <v>61</v>
      </c>
      <c r="AI15" t="s">
        <v>61</v>
      </c>
      <c r="AJ15" t="s">
        <v>61</v>
      </c>
      <c r="AK15" t="s">
        <v>61</v>
      </c>
      <c r="AL15" t="s">
        <v>61</v>
      </c>
      <c r="AM15" t="s">
        <v>61</v>
      </c>
      <c r="AN15" t="s">
        <v>61</v>
      </c>
    </row>
    <row r="16" spans="1:40" x14ac:dyDescent="0.55000000000000004">
      <c r="A16" t="s">
        <v>72</v>
      </c>
      <c r="B16">
        <f t="shared" ca="1" si="0"/>
        <v>812</v>
      </c>
      <c r="C16">
        <f t="shared" ca="1" si="1"/>
        <v>71</v>
      </c>
      <c r="D16">
        <f t="shared" ca="1" si="2"/>
        <v>13</v>
      </c>
      <c r="E16">
        <f t="shared" ca="1" si="3"/>
        <v>5</v>
      </c>
      <c r="F16">
        <f t="shared" ca="1" si="4"/>
        <v>15</v>
      </c>
      <c r="G16">
        <f t="shared" ca="1" si="4"/>
        <v>5</v>
      </c>
      <c r="H16" t="b">
        <f t="shared" ca="1" si="5"/>
        <v>0</v>
      </c>
      <c r="I16" t="s">
        <v>61</v>
      </c>
      <c r="J16" t="s">
        <v>61</v>
      </c>
      <c r="K16" t="s">
        <v>61</v>
      </c>
      <c r="L16" t="s">
        <v>61</v>
      </c>
      <c r="M16" t="s">
        <v>61</v>
      </c>
      <c r="N16" t="s">
        <v>61</v>
      </c>
      <c r="O16" t="s">
        <v>61</v>
      </c>
      <c r="P16" t="s">
        <v>61</v>
      </c>
      <c r="Q16" t="s">
        <v>61</v>
      </c>
      <c r="R16" t="s">
        <v>61</v>
      </c>
      <c r="S16" t="s">
        <v>61</v>
      </c>
      <c r="T16" t="s">
        <v>61</v>
      </c>
      <c r="U16" t="s">
        <v>61</v>
      </c>
      <c r="V16" t="s">
        <v>61</v>
      </c>
      <c r="W16" t="s">
        <v>61</v>
      </c>
      <c r="X16">
        <v>1</v>
      </c>
      <c r="Y16" t="b">
        <v>1</v>
      </c>
      <c r="Z16" t="s">
        <v>61</v>
      </c>
      <c r="AA16" t="s">
        <v>61</v>
      </c>
      <c r="AB16" t="s">
        <v>61</v>
      </c>
      <c r="AC16" t="s">
        <v>61</v>
      </c>
      <c r="AD16" t="s">
        <v>61</v>
      </c>
      <c r="AE16" t="s">
        <v>61</v>
      </c>
      <c r="AF16" t="s">
        <v>61</v>
      </c>
      <c r="AG16" t="s">
        <v>61</v>
      </c>
      <c r="AH16" t="s">
        <v>61</v>
      </c>
      <c r="AI16" t="s">
        <v>61</v>
      </c>
      <c r="AJ16" t="s">
        <v>61</v>
      </c>
      <c r="AK16" t="s">
        <v>61</v>
      </c>
      <c r="AL16" t="s">
        <v>61</v>
      </c>
      <c r="AM16" t="s">
        <v>61</v>
      </c>
      <c r="AN16" t="s">
        <v>61</v>
      </c>
    </row>
    <row r="17" spans="1:40" x14ac:dyDescent="0.55000000000000004">
      <c r="A17" t="s">
        <v>73</v>
      </c>
      <c r="B17">
        <f t="shared" ca="1" si="0"/>
        <v>744</v>
      </c>
      <c r="C17">
        <f t="shared" ca="1" si="1"/>
        <v>108</v>
      </c>
      <c r="D17">
        <f t="shared" ca="1" si="2"/>
        <v>28</v>
      </c>
      <c r="E17">
        <f t="shared" ca="1" si="3"/>
        <v>10</v>
      </c>
      <c r="F17">
        <f t="shared" ca="1" si="4"/>
        <v>11</v>
      </c>
      <c r="G17">
        <f t="shared" ca="1" si="4"/>
        <v>3</v>
      </c>
      <c r="H17" t="b">
        <f t="shared" ca="1" si="5"/>
        <v>1</v>
      </c>
      <c r="I17" t="s">
        <v>61</v>
      </c>
      <c r="J17" t="s">
        <v>61</v>
      </c>
      <c r="K17" t="s">
        <v>61</v>
      </c>
      <c r="L17" t="s">
        <v>61</v>
      </c>
      <c r="M17" t="s">
        <v>61</v>
      </c>
      <c r="N17" t="s">
        <v>61</v>
      </c>
      <c r="O17" t="s">
        <v>61</v>
      </c>
      <c r="P17" t="s">
        <v>61</v>
      </c>
      <c r="Q17" t="s">
        <v>61</v>
      </c>
      <c r="R17" t="s">
        <v>61</v>
      </c>
      <c r="S17" t="s">
        <v>61</v>
      </c>
      <c r="T17" t="s">
        <v>61</v>
      </c>
      <c r="U17" t="s">
        <v>61</v>
      </c>
      <c r="V17" t="s">
        <v>61</v>
      </c>
      <c r="W17" t="s">
        <v>61</v>
      </c>
      <c r="X17" t="s">
        <v>61</v>
      </c>
      <c r="Y17" t="s">
        <v>61</v>
      </c>
      <c r="Z17" t="s">
        <v>61</v>
      </c>
      <c r="AA17" t="s">
        <v>61</v>
      </c>
      <c r="AB17" t="s">
        <v>61</v>
      </c>
      <c r="AC17" t="s">
        <v>61</v>
      </c>
      <c r="AD17" t="s">
        <v>61</v>
      </c>
      <c r="AE17" t="s">
        <v>61</v>
      </c>
      <c r="AF17" t="s">
        <v>61</v>
      </c>
      <c r="AG17" t="s">
        <v>61</v>
      </c>
      <c r="AH17" t="s">
        <v>61</v>
      </c>
      <c r="AI17" t="s">
        <v>61</v>
      </c>
      <c r="AJ17" t="s">
        <v>61</v>
      </c>
      <c r="AK17" t="s">
        <v>61</v>
      </c>
      <c r="AL17" t="s">
        <v>61</v>
      </c>
      <c r="AM17" t="s">
        <v>61</v>
      </c>
      <c r="AN17" t="s">
        <v>61</v>
      </c>
    </row>
    <row r="18" spans="1:40" x14ac:dyDescent="0.55000000000000004">
      <c r="A18" t="s">
        <v>74</v>
      </c>
      <c r="B18">
        <f t="shared" ca="1" si="0"/>
        <v>987</v>
      </c>
      <c r="C18">
        <f t="shared" ca="1" si="1"/>
        <v>90</v>
      </c>
      <c r="D18">
        <f t="shared" ca="1" si="2"/>
        <v>32</v>
      </c>
      <c r="E18">
        <f t="shared" ca="1" si="3"/>
        <v>-6</v>
      </c>
      <c r="F18">
        <f t="shared" ca="1" si="4"/>
        <v>18</v>
      </c>
      <c r="G18">
        <f t="shared" ca="1" si="4"/>
        <v>6</v>
      </c>
      <c r="H18" t="b">
        <f t="shared" ca="1" si="5"/>
        <v>1</v>
      </c>
      <c r="I18" t="s">
        <v>61</v>
      </c>
      <c r="J18" t="s">
        <v>61</v>
      </c>
      <c r="K18" t="s">
        <v>61</v>
      </c>
      <c r="L18" t="s">
        <v>61</v>
      </c>
      <c r="M18" t="s">
        <v>61</v>
      </c>
      <c r="N18" t="s">
        <v>61</v>
      </c>
      <c r="O18" t="s">
        <v>61</v>
      </c>
      <c r="P18">
        <v>1</v>
      </c>
      <c r="Q18" t="b">
        <v>1</v>
      </c>
      <c r="R18" t="s">
        <v>61</v>
      </c>
      <c r="S18" t="s">
        <v>61</v>
      </c>
      <c r="T18" t="s">
        <v>61</v>
      </c>
      <c r="U18" t="s">
        <v>61</v>
      </c>
      <c r="V18" t="s">
        <v>61</v>
      </c>
      <c r="W18" t="s">
        <v>61</v>
      </c>
      <c r="X18" t="s">
        <v>61</v>
      </c>
      <c r="Y18" t="s">
        <v>61</v>
      </c>
      <c r="Z18" t="s">
        <v>61</v>
      </c>
      <c r="AA18" t="s">
        <v>61</v>
      </c>
      <c r="AB18" t="s">
        <v>61</v>
      </c>
      <c r="AC18" t="s">
        <v>61</v>
      </c>
      <c r="AD18" t="s">
        <v>61</v>
      </c>
      <c r="AE18" t="s">
        <v>61</v>
      </c>
      <c r="AF18" t="s">
        <v>61</v>
      </c>
      <c r="AG18" t="s">
        <v>61</v>
      </c>
      <c r="AH18" t="s">
        <v>61</v>
      </c>
      <c r="AI18" t="s">
        <v>61</v>
      </c>
      <c r="AJ18" t="s">
        <v>61</v>
      </c>
      <c r="AK18" t="s">
        <v>61</v>
      </c>
      <c r="AL18" t="s">
        <v>61</v>
      </c>
      <c r="AM18" t="s">
        <v>61</v>
      </c>
      <c r="AN18" t="s">
        <v>61</v>
      </c>
    </row>
    <row r="19" spans="1:40" x14ac:dyDescent="0.55000000000000004">
      <c r="A19" t="s">
        <v>75</v>
      </c>
      <c r="B19">
        <f t="shared" ca="1" si="0"/>
        <v>752</v>
      </c>
      <c r="C19">
        <f t="shared" ca="1" si="1"/>
        <v>197</v>
      </c>
      <c r="D19">
        <f t="shared" ca="1" si="2"/>
        <v>17</v>
      </c>
      <c r="E19">
        <f t="shared" ca="1" si="3"/>
        <v>0</v>
      </c>
      <c r="F19">
        <f t="shared" ca="1" si="4"/>
        <v>17</v>
      </c>
      <c r="G19">
        <f t="shared" ca="1" si="4"/>
        <v>18</v>
      </c>
      <c r="H19" t="b">
        <f t="shared" ca="1" si="5"/>
        <v>1</v>
      </c>
      <c r="I19" t="s">
        <v>61</v>
      </c>
      <c r="J19" t="s">
        <v>61</v>
      </c>
      <c r="K19" t="s">
        <v>61</v>
      </c>
      <c r="L19" t="s">
        <v>61</v>
      </c>
      <c r="M19" t="s">
        <v>61</v>
      </c>
      <c r="N19" t="s">
        <v>61</v>
      </c>
      <c r="O19" t="s">
        <v>61</v>
      </c>
      <c r="P19">
        <v>1</v>
      </c>
      <c r="Q19" t="b">
        <v>1</v>
      </c>
      <c r="R19" t="s">
        <v>61</v>
      </c>
      <c r="S19" t="s">
        <v>61</v>
      </c>
      <c r="T19">
        <v>1</v>
      </c>
      <c r="U19" t="b">
        <v>1</v>
      </c>
      <c r="V19" t="s">
        <v>61</v>
      </c>
      <c r="W19" t="s">
        <v>61</v>
      </c>
      <c r="X19" t="s">
        <v>61</v>
      </c>
      <c r="Y19" t="s">
        <v>61</v>
      </c>
      <c r="Z19" t="s">
        <v>61</v>
      </c>
      <c r="AA19" t="s">
        <v>61</v>
      </c>
      <c r="AB19" t="s">
        <v>61</v>
      </c>
      <c r="AC19" t="s">
        <v>61</v>
      </c>
      <c r="AD19" t="s">
        <v>61</v>
      </c>
      <c r="AE19" t="s">
        <v>61</v>
      </c>
      <c r="AF19" t="s">
        <v>61</v>
      </c>
      <c r="AG19" t="s">
        <v>61</v>
      </c>
      <c r="AH19" t="s">
        <v>61</v>
      </c>
      <c r="AI19" t="s">
        <v>61</v>
      </c>
      <c r="AJ19" t="s">
        <v>61</v>
      </c>
      <c r="AK19" t="s">
        <v>61</v>
      </c>
      <c r="AL19" t="s">
        <v>61</v>
      </c>
      <c r="AM19" t="s">
        <v>61</v>
      </c>
      <c r="AN19" t="s">
        <v>61</v>
      </c>
    </row>
    <row r="20" spans="1:40" x14ac:dyDescent="0.55000000000000004">
      <c r="A20" t="s">
        <v>76</v>
      </c>
      <c r="B20">
        <f t="shared" ca="1" si="0"/>
        <v>893</v>
      </c>
      <c r="C20">
        <f t="shared" ca="1" si="1"/>
        <v>29</v>
      </c>
      <c r="D20">
        <f t="shared" ca="1" si="2"/>
        <v>0</v>
      </c>
      <c r="E20">
        <f t="shared" ca="1" si="3"/>
        <v>4</v>
      </c>
      <c r="F20">
        <f t="shared" ca="1" si="4"/>
        <v>1</v>
      </c>
      <c r="G20">
        <f t="shared" ca="1" si="4"/>
        <v>15</v>
      </c>
      <c r="H20" t="b">
        <f t="shared" ca="1" si="5"/>
        <v>0</v>
      </c>
      <c r="I20" t="s">
        <v>61</v>
      </c>
      <c r="J20" t="s">
        <v>61</v>
      </c>
      <c r="K20" t="s">
        <v>61</v>
      </c>
      <c r="L20" t="s">
        <v>61</v>
      </c>
      <c r="M20" t="s">
        <v>61</v>
      </c>
      <c r="N20" t="s">
        <v>61</v>
      </c>
      <c r="O20" t="s">
        <v>61</v>
      </c>
      <c r="P20">
        <v>1</v>
      </c>
      <c r="Q20" t="b">
        <v>1</v>
      </c>
      <c r="R20" t="s">
        <v>61</v>
      </c>
      <c r="S20" t="s">
        <v>61</v>
      </c>
      <c r="T20" t="s">
        <v>61</v>
      </c>
      <c r="U20" t="s">
        <v>61</v>
      </c>
      <c r="V20" t="s">
        <v>61</v>
      </c>
      <c r="W20" t="s">
        <v>61</v>
      </c>
      <c r="X20" t="s">
        <v>61</v>
      </c>
      <c r="Y20" t="s">
        <v>61</v>
      </c>
      <c r="Z20" t="s">
        <v>61</v>
      </c>
      <c r="AA20" t="s">
        <v>61</v>
      </c>
      <c r="AB20" t="s">
        <v>61</v>
      </c>
      <c r="AC20" t="s">
        <v>61</v>
      </c>
      <c r="AD20" t="s">
        <v>61</v>
      </c>
      <c r="AE20" t="s">
        <v>61</v>
      </c>
      <c r="AF20" t="s">
        <v>61</v>
      </c>
      <c r="AG20" t="s">
        <v>61</v>
      </c>
      <c r="AH20" t="s">
        <v>61</v>
      </c>
      <c r="AI20" t="s">
        <v>61</v>
      </c>
      <c r="AJ20" t="s">
        <v>61</v>
      </c>
      <c r="AK20" t="s">
        <v>61</v>
      </c>
      <c r="AL20" t="s">
        <v>61</v>
      </c>
      <c r="AM20" t="s">
        <v>61</v>
      </c>
      <c r="AN20" t="s">
        <v>61</v>
      </c>
    </row>
    <row r="21" spans="1:40" x14ac:dyDescent="0.55000000000000004">
      <c r="A21" t="s">
        <v>77</v>
      </c>
      <c r="B21">
        <f t="shared" ca="1" si="0"/>
        <v>928</v>
      </c>
      <c r="C21">
        <f t="shared" ca="1" si="1"/>
        <v>187</v>
      </c>
      <c r="D21">
        <f t="shared" ca="1" si="2"/>
        <v>29</v>
      </c>
      <c r="E21">
        <f t="shared" ca="1" si="3"/>
        <v>6</v>
      </c>
      <c r="F21">
        <f t="shared" ca="1" si="4"/>
        <v>1</v>
      </c>
      <c r="G21">
        <f t="shared" ca="1" si="4"/>
        <v>5</v>
      </c>
      <c r="H21" t="b">
        <f t="shared" ca="1" si="5"/>
        <v>1</v>
      </c>
      <c r="I21" t="s">
        <v>61</v>
      </c>
      <c r="J21" t="s">
        <v>61</v>
      </c>
      <c r="K21" t="s">
        <v>61</v>
      </c>
      <c r="L21" t="s">
        <v>61</v>
      </c>
      <c r="M21" t="s">
        <v>61</v>
      </c>
      <c r="N21" t="s">
        <v>61</v>
      </c>
      <c r="O21" t="s">
        <v>61</v>
      </c>
      <c r="P21" t="s">
        <v>61</v>
      </c>
      <c r="Q21" t="s">
        <v>61</v>
      </c>
      <c r="R21" t="s">
        <v>61</v>
      </c>
      <c r="S21" t="s">
        <v>61</v>
      </c>
      <c r="T21" t="s">
        <v>61</v>
      </c>
      <c r="U21" t="s">
        <v>61</v>
      </c>
      <c r="V21" t="s">
        <v>61</v>
      </c>
      <c r="W21" t="s">
        <v>61</v>
      </c>
      <c r="X21" t="s">
        <v>61</v>
      </c>
      <c r="Y21" t="s">
        <v>61</v>
      </c>
      <c r="Z21" t="s">
        <v>61</v>
      </c>
      <c r="AA21" t="s">
        <v>61</v>
      </c>
      <c r="AB21" t="s">
        <v>61</v>
      </c>
      <c r="AC21" t="s">
        <v>61</v>
      </c>
      <c r="AD21" t="s">
        <v>61</v>
      </c>
      <c r="AE21" t="s">
        <v>61</v>
      </c>
      <c r="AF21" t="s">
        <v>61</v>
      </c>
      <c r="AG21" t="s">
        <v>61</v>
      </c>
      <c r="AH21" t="s">
        <v>61</v>
      </c>
      <c r="AI21" t="s">
        <v>61</v>
      </c>
      <c r="AJ21" t="s">
        <v>61</v>
      </c>
      <c r="AK21" t="s">
        <v>61</v>
      </c>
      <c r="AL21" t="s">
        <v>61</v>
      </c>
      <c r="AM21" t="s">
        <v>61</v>
      </c>
      <c r="AN21" t="s">
        <v>61</v>
      </c>
    </row>
    <row r="22" spans="1:40" x14ac:dyDescent="0.55000000000000004">
      <c r="A22" t="s">
        <v>78</v>
      </c>
      <c r="B22">
        <f t="shared" ca="1" si="0"/>
        <v>430</v>
      </c>
      <c r="C22">
        <f t="shared" ca="1" si="1"/>
        <v>148</v>
      </c>
      <c r="D22">
        <f t="shared" ca="1" si="2"/>
        <v>26</v>
      </c>
      <c r="E22">
        <f t="shared" ca="1" si="3"/>
        <v>-3</v>
      </c>
      <c r="F22">
        <f t="shared" ca="1" si="4"/>
        <v>8</v>
      </c>
      <c r="G22">
        <f t="shared" ca="1" si="4"/>
        <v>7</v>
      </c>
      <c r="H22" t="b">
        <f t="shared" ca="1" si="5"/>
        <v>0</v>
      </c>
      <c r="I22" t="s">
        <v>61</v>
      </c>
      <c r="J22" t="s">
        <v>61</v>
      </c>
      <c r="K22" t="s">
        <v>61</v>
      </c>
      <c r="L22" t="s">
        <v>61</v>
      </c>
      <c r="M22" t="s">
        <v>61</v>
      </c>
      <c r="N22" t="s">
        <v>61</v>
      </c>
      <c r="O22" t="s">
        <v>61</v>
      </c>
      <c r="P22" t="s">
        <v>61</v>
      </c>
      <c r="Q22" t="s">
        <v>61</v>
      </c>
      <c r="R22">
        <v>100</v>
      </c>
      <c r="S22" t="b">
        <v>1</v>
      </c>
      <c r="T22">
        <v>1</v>
      </c>
      <c r="U22" t="b">
        <v>1</v>
      </c>
      <c r="V22" t="s">
        <v>61</v>
      </c>
      <c r="W22" t="s">
        <v>61</v>
      </c>
      <c r="X22" t="s">
        <v>61</v>
      </c>
      <c r="Y22" t="s">
        <v>61</v>
      </c>
      <c r="Z22" t="s">
        <v>61</v>
      </c>
      <c r="AA22" t="s">
        <v>61</v>
      </c>
      <c r="AB22" t="s">
        <v>61</v>
      </c>
      <c r="AC22" t="s">
        <v>61</v>
      </c>
      <c r="AD22" t="s">
        <v>61</v>
      </c>
      <c r="AE22" t="s">
        <v>61</v>
      </c>
      <c r="AF22" t="s">
        <v>61</v>
      </c>
      <c r="AG22" t="s">
        <v>61</v>
      </c>
      <c r="AH22" t="s">
        <v>61</v>
      </c>
      <c r="AI22" t="s">
        <v>61</v>
      </c>
      <c r="AJ22" t="s">
        <v>61</v>
      </c>
      <c r="AK22" t="s">
        <v>61</v>
      </c>
      <c r="AL22" t="s">
        <v>61</v>
      </c>
      <c r="AM22" t="s">
        <v>61</v>
      </c>
      <c r="AN22" t="s">
        <v>61</v>
      </c>
    </row>
    <row r="23" spans="1:40" x14ac:dyDescent="0.55000000000000004">
      <c r="A23" t="s">
        <v>79</v>
      </c>
      <c r="B23">
        <f t="shared" ca="1" si="0"/>
        <v>606</v>
      </c>
      <c r="C23">
        <f t="shared" ca="1" si="1"/>
        <v>168</v>
      </c>
      <c r="D23">
        <f t="shared" ca="1" si="2"/>
        <v>8</v>
      </c>
      <c r="E23">
        <f t="shared" ca="1" si="3"/>
        <v>-1</v>
      </c>
      <c r="F23">
        <f t="shared" ca="1" si="4"/>
        <v>19</v>
      </c>
      <c r="G23">
        <f t="shared" ca="1" si="4"/>
        <v>8</v>
      </c>
      <c r="H23" t="b">
        <f t="shared" ca="1" si="5"/>
        <v>1</v>
      </c>
      <c r="I23" t="s">
        <v>61</v>
      </c>
      <c r="J23" t="s">
        <v>61</v>
      </c>
      <c r="K23" t="s">
        <v>61</v>
      </c>
      <c r="L23" t="s">
        <v>61</v>
      </c>
      <c r="M23" t="s">
        <v>61</v>
      </c>
      <c r="N23" t="s">
        <v>61</v>
      </c>
      <c r="O23" t="s">
        <v>61</v>
      </c>
      <c r="P23">
        <v>1</v>
      </c>
      <c r="Q23" t="b">
        <v>1</v>
      </c>
      <c r="R23" t="s">
        <v>61</v>
      </c>
      <c r="S23" t="s">
        <v>61</v>
      </c>
      <c r="T23" t="s">
        <v>61</v>
      </c>
      <c r="U23" t="s">
        <v>61</v>
      </c>
      <c r="V23" t="s">
        <v>61</v>
      </c>
      <c r="W23" t="s">
        <v>61</v>
      </c>
      <c r="X23" t="s">
        <v>61</v>
      </c>
      <c r="Y23" t="s">
        <v>61</v>
      </c>
      <c r="Z23" t="s">
        <v>61</v>
      </c>
      <c r="AA23" t="s">
        <v>61</v>
      </c>
      <c r="AB23" t="s">
        <v>61</v>
      </c>
      <c r="AC23" t="s">
        <v>61</v>
      </c>
      <c r="AD23" t="s">
        <v>61</v>
      </c>
      <c r="AE23" t="s">
        <v>61</v>
      </c>
      <c r="AF23" t="s">
        <v>61</v>
      </c>
      <c r="AG23" t="s">
        <v>61</v>
      </c>
      <c r="AH23">
        <v>8</v>
      </c>
      <c r="AI23" t="b">
        <v>1</v>
      </c>
      <c r="AJ23" t="s">
        <v>61</v>
      </c>
      <c r="AK23" t="s">
        <v>61</v>
      </c>
      <c r="AL23" t="s">
        <v>61</v>
      </c>
      <c r="AM23" t="s">
        <v>61</v>
      </c>
      <c r="AN23" t="s">
        <v>61</v>
      </c>
    </row>
    <row r="24" spans="1:40" x14ac:dyDescent="0.55000000000000004">
      <c r="A24" t="s">
        <v>80</v>
      </c>
      <c r="B24">
        <f t="shared" ca="1" si="0"/>
        <v>160</v>
      </c>
      <c r="C24">
        <f t="shared" ca="1" si="1"/>
        <v>88</v>
      </c>
      <c r="D24">
        <f t="shared" ca="1" si="2"/>
        <v>35</v>
      </c>
      <c r="E24">
        <f t="shared" ca="1" si="3"/>
        <v>9</v>
      </c>
      <c r="F24">
        <f t="shared" ca="1" si="4"/>
        <v>14</v>
      </c>
      <c r="G24">
        <f t="shared" ca="1" si="4"/>
        <v>13</v>
      </c>
      <c r="H24" t="b">
        <f t="shared" ca="1" si="5"/>
        <v>0</v>
      </c>
      <c r="I24" t="s">
        <v>61</v>
      </c>
      <c r="J24" t="s">
        <v>61</v>
      </c>
      <c r="K24" t="s">
        <v>61</v>
      </c>
      <c r="L24" t="s">
        <v>61</v>
      </c>
      <c r="M24">
        <v>100</v>
      </c>
      <c r="N24">
        <v>10000</v>
      </c>
      <c r="O24" t="b">
        <v>1</v>
      </c>
      <c r="P24">
        <v>1</v>
      </c>
      <c r="Q24" t="b">
        <v>1</v>
      </c>
      <c r="R24" t="s">
        <v>61</v>
      </c>
      <c r="S24" t="s">
        <v>61</v>
      </c>
      <c r="T24">
        <v>1</v>
      </c>
      <c r="U24" t="b">
        <v>1</v>
      </c>
      <c r="V24" t="s">
        <v>61</v>
      </c>
      <c r="W24" t="s">
        <v>61</v>
      </c>
      <c r="X24" t="s">
        <v>61</v>
      </c>
      <c r="Y24" t="s">
        <v>61</v>
      </c>
      <c r="Z24" t="s">
        <v>61</v>
      </c>
      <c r="AA24" t="s">
        <v>61</v>
      </c>
      <c r="AB24" t="s">
        <v>61</v>
      </c>
      <c r="AC24" t="s">
        <v>61</v>
      </c>
      <c r="AD24" t="s">
        <v>61</v>
      </c>
      <c r="AE24" t="s">
        <v>61</v>
      </c>
      <c r="AF24" t="s">
        <v>61</v>
      </c>
      <c r="AG24" t="s">
        <v>61</v>
      </c>
      <c r="AH24">
        <v>11</v>
      </c>
      <c r="AI24" t="b">
        <v>1</v>
      </c>
      <c r="AJ24" t="s">
        <v>61</v>
      </c>
      <c r="AK24" t="s">
        <v>61</v>
      </c>
      <c r="AL24" t="s">
        <v>61</v>
      </c>
      <c r="AM24" t="s">
        <v>61</v>
      </c>
      <c r="AN24" t="s">
        <v>61</v>
      </c>
    </row>
    <row r="25" spans="1:40" x14ac:dyDescent="0.55000000000000004">
      <c r="A25" t="s">
        <v>81</v>
      </c>
      <c r="B25">
        <f t="shared" ca="1" si="0"/>
        <v>240</v>
      </c>
      <c r="C25">
        <f t="shared" ca="1" si="1"/>
        <v>101</v>
      </c>
      <c r="D25">
        <f t="shared" ca="1" si="2"/>
        <v>34</v>
      </c>
      <c r="E25">
        <f t="shared" ca="1" si="3"/>
        <v>-2</v>
      </c>
      <c r="F25">
        <f t="shared" ca="1" si="4"/>
        <v>13</v>
      </c>
      <c r="G25">
        <f t="shared" ca="1" si="4"/>
        <v>6</v>
      </c>
      <c r="H25" t="b">
        <f t="shared" ca="1" si="5"/>
        <v>1</v>
      </c>
      <c r="I25" t="s">
        <v>61</v>
      </c>
      <c r="J25" t="s">
        <v>61</v>
      </c>
      <c r="K25" t="s">
        <v>61</v>
      </c>
      <c r="L25" t="s">
        <v>61</v>
      </c>
      <c r="M25" t="s">
        <v>61</v>
      </c>
      <c r="N25" t="s">
        <v>61</v>
      </c>
      <c r="O25" t="s">
        <v>61</v>
      </c>
      <c r="P25">
        <v>1</v>
      </c>
      <c r="Q25" t="b">
        <v>1</v>
      </c>
      <c r="R25" t="s">
        <v>61</v>
      </c>
      <c r="S25" t="s">
        <v>61</v>
      </c>
      <c r="T25">
        <v>1</v>
      </c>
      <c r="U25" t="b">
        <v>1</v>
      </c>
      <c r="V25" t="s">
        <v>61</v>
      </c>
      <c r="W25" t="s">
        <v>61</v>
      </c>
      <c r="X25" t="s">
        <v>61</v>
      </c>
      <c r="Y25" t="s">
        <v>61</v>
      </c>
      <c r="Z25">
        <v>55</v>
      </c>
      <c r="AA25" t="b">
        <v>1</v>
      </c>
      <c r="AB25" t="s">
        <v>61</v>
      </c>
      <c r="AC25" t="s">
        <v>61</v>
      </c>
      <c r="AD25" t="s">
        <v>61</v>
      </c>
      <c r="AE25" t="s">
        <v>61</v>
      </c>
      <c r="AF25" t="s">
        <v>61</v>
      </c>
      <c r="AG25" t="s">
        <v>61</v>
      </c>
      <c r="AH25" t="s">
        <v>61</v>
      </c>
      <c r="AI25" t="s">
        <v>61</v>
      </c>
      <c r="AJ25" t="s">
        <v>61</v>
      </c>
      <c r="AK25" t="s">
        <v>61</v>
      </c>
      <c r="AL25" t="s">
        <v>61</v>
      </c>
      <c r="AM25" t="s">
        <v>61</v>
      </c>
      <c r="AN25" t="s">
        <v>61</v>
      </c>
    </row>
    <row r="26" spans="1:40" x14ac:dyDescent="0.55000000000000004">
      <c r="A26" t="s">
        <v>82</v>
      </c>
      <c r="B26">
        <f t="shared" ca="1" si="0"/>
        <v>163</v>
      </c>
      <c r="C26">
        <f t="shared" ca="1" si="1"/>
        <v>39</v>
      </c>
      <c r="D26">
        <f t="shared" ca="1" si="2"/>
        <v>31</v>
      </c>
      <c r="E26">
        <f t="shared" ca="1" si="3"/>
        <v>3</v>
      </c>
      <c r="F26">
        <f t="shared" ca="1" si="4"/>
        <v>5</v>
      </c>
      <c r="G26">
        <f t="shared" ca="1" si="4"/>
        <v>2</v>
      </c>
      <c r="H26" t="b">
        <f t="shared" ca="1" si="5"/>
        <v>0</v>
      </c>
      <c r="I26" t="s">
        <v>61</v>
      </c>
      <c r="J26" t="s">
        <v>61</v>
      </c>
      <c r="K26" t="s">
        <v>61</v>
      </c>
      <c r="L26" t="s">
        <v>61</v>
      </c>
      <c r="M26" t="s">
        <v>61</v>
      </c>
      <c r="N26" t="s">
        <v>61</v>
      </c>
      <c r="O26" t="s">
        <v>61</v>
      </c>
      <c r="P26">
        <v>1</v>
      </c>
      <c r="Q26" t="b">
        <v>1</v>
      </c>
      <c r="R26" t="s">
        <v>61</v>
      </c>
      <c r="S26" t="s">
        <v>61</v>
      </c>
      <c r="T26">
        <v>1</v>
      </c>
      <c r="U26" t="b">
        <v>1</v>
      </c>
      <c r="V26" t="s">
        <v>61</v>
      </c>
      <c r="W26" t="s">
        <v>61</v>
      </c>
      <c r="X26">
        <v>1</v>
      </c>
      <c r="Y26" t="b">
        <v>1</v>
      </c>
      <c r="Z26" t="s">
        <v>61</v>
      </c>
      <c r="AA26" t="s">
        <v>61</v>
      </c>
      <c r="AB26" t="s">
        <v>61</v>
      </c>
      <c r="AC26" t="s">
        <v>61</v>
      </c>
      <c r="AD26" t="s">
        <v>61</v>
      </c>
      <c r="AE26" t="s">
        <v>61</v>
      </c>
      <c r="AF26" t="s">
        <v>61</v>
      </c>
      <c r="AG26" t="s">
        <v>61</v>
      </c>
      <c r="AH26" t="s">
        <v>61</v>
      </c>
      <c r="AI26" t="s">
        <v>61</v>
      </c>
      <c r="AJ26" t="s">
        <v>61</v>
      </c>
      <c r="AK26" t="s">
        <v>61</v>
      </c>
      <c r="AL26" t="s">
        <v>61</v>
      </c>
      <c r="AM26" t="s">
        <v>61</v>
      </c>
      <c r="AN26" t="s">
        <v>61</v>
      </c>
    </row>
    <row r="27" spans="1:40" x14ac:dyDescent="0.55000000000000004">
      <c r="A27" t="s">
        <v>83</v>
      </c>
      <c r="B27">
        <f t="shared" ca="1" si="0"/>
        <v>913</v>
      </c>
      <c r="C27">
        <f t="shared" ca="1" si="1"/>
        <v>144</v>
      </c>
      <c r="D27">
        <f t="shared" ca="1" si="2"/>
        <v>24</v>
      </c>
      <c r="E27">
        <f t="shared" ca="1" si="3"/>
        <v>-6</v>
      </c>
      <c r="F27">
        <f t="shared" ca="1" si="4"/>
        <v>7</v>
      </c>
      <c r="G27">
        <f t="shared" ca="1" si="4"/>
        <v>1</v>
      </c>
      <c r="H27" t="b">
        <f t="shared" ca="1" si="5"/>
        <v>1</v>
      </c>
      <c r="I27" t="s">
        <v>61</v>
      </c>
      <c r="J27" t="s">
        <v>61</v>
      </c>
      <c r="K27">
        <v>12</v>
      </c>
      <c r="L27" t="b">
        <v>1</v>
      </c>
      <c r="M27" t="s">
        <v>61</v>
      </c>
      <c r="N27" t="s">
        <v>61</v>
      </c>
      <c r="O27" t="s">
        <v>61</v>
      </c>
      <c r="P27">
        <v>1</v>
      </c>
      <c r="Q27" t="b">
        <v>1</v>
      </c>
      <c r="R27" t="s">
        <v>61</v>
      </c>
      <c r="S27" t="s">
        <v>61</v>
      </c>
      <c r="T27">
        <v>1</v>
      </c>
      <c r="U27" t="b">
        <v>1</v>
      </c>
      <c r="V27" t="s">
        <v>61</v>
      </c>
      <c r="W27" t="s">
        <v>61</v>
      </c>
      <c r="X27">
        <v>1</v>
      </c>
      <c r="Y27" t="b">
        <v>1</v>
      </c>
      <c r="Z27" t="s">
        <v>61</v>
      </c>
      <c r="AA27" t="s">
        <v>61</v>
      </c>
      <c r="AB27" t="s">
        <v>61</v>
      </c>
      <c r="AC27" t="s">
        <v>61</v>
      </c>
      <c r="AD27" t="s">
        <v>61</v>
      </c>
      <c r="AE27" t="s">
        <v>61</v>
      </c>
      <c r="AF27">
        <v>6</v>
      </c>
      <c r="AG27" t="b">
        <v>1</v>
      </c>
      <c r="AH27" t="s">
        <v>61</v>
      </c>
      <c r="AI27" t="s">
        <v>61</v>
      </c>
      <c r="AJ27" t="s">
        <v>61</v>
      </c>
      <c r="AK27" t="s">
        <v>61</v>
      </c>
      <c r="AL27" t="s">
        <v>61</v>
      </c>
      <c r="AM27" t="s">
        <v>61</v>
      </c>
      <c r="AN27" t="s">
        <v>61</v>
      </c>
    </row>
    <row r="28" spans="1:40" x14ac:dyDescent="0.55000000000000004">
      <c r="A28" t="s">
        <v>84</v>
      </c>
      <c r="B28">
        <f t="shared" ca="1" si="0"/>
        <v>862</v>
      </c>
      <c r="C28">
        <f t="shared" ca="1" si="1"/>
        <v>11</v>
      </c>
      <c r="D28">
        <f t="shared" ca="1" si="2"/>
        <v>27</v>
      </c>
      <c r="E28">
        <f t="shared" ca="1" si="3"/>
        <v>9</v>
      </c>
      <c r="F28">
        <f t="shared" ca="1" si="4"/>
        <v>5</v>
      </c>
      <c r="G28">
        <f t="shared" ca="1" si="4"/>
        <v>4</v>
      </c>
      <c r="H28" t="b">
        <f t="shared" ca="1" si="5"/>
        <v>0</v>
      </c>
      <c r="I28" t="s">
        <v>61</v>
      </c>
      <c r="J28" t="s">
        <v>61</v>
      </c>
      <c r="K28" t="s">
        <v>61</v>
      </c>
      <c r="L28" t="s">
        <v>61</v>
      </c>
      <c r="M28" t="s">
        <v>61</v>
      </c>
      <c r="N28" t="s">
        <v>61</v>
      </c>
      <c r="O28" t="s">
        <v>61</v>
      </c>
      <c r="P28" t="s">
        <v>61</v>
      </c>
      <c r="Q28" t="s">
        <v>61</v>
      </c>
      <c r="R28" t="s">
        <v>61</v>
      </c>
      <c r="S28" t="s">
        <v>61</v>
      </c>
      <c r="T28" t="s">
        <v>61</v>
      </c>
      <c r="U28" t="s">
        <v>61</v>
      </c>
      <c r="V28">
        <v>50</v>
      </c>
      <c r="W28" t="b">
        <v>1</v>
      </c>
      <c r="X28" t="s">
        <v>61</v>
      </c>
      <c r="Y28" t="s">
        <v>61</v>
      </c>
      <c r="Z28" t="s">
        <v>61</v>
      </c>
      <c r="AA28" t="s">
        <v>61</v>
      </c>
      <c r="AB28" t="s">
        <v>61</v>
      </c>
      <c r="AC28" t="s">
        <v>61</v>
      </c>
      <c r="AD28" t="s">
        <v>61</v>
      </c>
      <c r="AE28" t="s">
        <v>61</v>
      </c>
      <c r="AF28" t="s">
        <v>61</v>
      </c>
      <c r="AG28" t="s">
        <v>61</v>
      </c>
      <c r="AH28" t="s">
        <v>61</v>
      </c>
      <c r="AI28" t="s">
        <v>61</v>
      </c>
      <c r="AJ28" t="s">
        <v>61</v>
      </c>
      <c r="AK28" t="s">
        <v>61</v>
      </c>
      <c r="AL28" t="s">
        <v>61</v>
      </c>
      <c r="AM28" t="s">
        <v>61</v>
      </c>
      <c r="AN28" t="s">
        <v>61</v>
      </c>
    </row>
    <row r="29" spans="1:40" x14ac:dyDescent="0.55000000000000004">
      <c r="A29" t="s">
        <v>85</v>
      </c>
      <c r="B29">
        <f t="shared" ca="1" si="0"/>
        <v>321</v>
      </c>
      <c r="C29">
        <f t="shared" ca="1" si="1"/>
        <v>105</v>
      </c>
      <c r="D29">
        <f t="shared" ca="1" si="2"/>
        <v>7</v>
      </c>
      <c r="E29">
        <f t="shared" ca="1" si="3"/>
        <v>-2</v>
      </c>
      <c r="F29">
        <f t="shared" ca="1" si="4"/>
        <v>7</v>
      </c>
      <c r="G29">
        <f t="shared" ca="1" si="4"/>
        <v>11</v>
      </c>
      <c r="H29" t="b">
        <f t="shared" ca="1" si="5"/>
        <v>1</v>
      </c>
      <c r="I29" t="s">
        <v>61</v>
      </c>
      <c r="J29" t="s">
        <v>61</v>
      </c>
      <c r="K29" t="s">
        <v>61</v>
      </c>
      <c r="L29" t="s">
        <v>61</v>
      </c>
      <c r="M29" t="s">
        <v>61</v>
      </c>
      <c r="N29" t="s">
        <v>61</v>
      </c>
      <c r="O29" t="s">
        <v>61</v>
      </c>
      <c r="P29">
        <v>1</v>
      </c>
      <c r="Q29" t="b">
        <v>1</v>
      </c>
      <c r="R29" t="s">
        <v>61</v>
      </c>
      <c r="S29" t="s">
        <v>61</v>
      </c>
      <c r="T29">
        <v>1</v>
      </c>
      <c r="U29" t="b">
        <v>1</v>
      </c>
      <c r="V29" t="s">
        <v>61</v>
      </c>
      <c r="W29" t="s">
        <v>61</v>
      </c>
      <c r="X29">
        <v>1</v>
      </c>
      <c r="Y29" t="b">
        <v>1</v>
      </c>
      <c r="Z29" t="s">
        <v>61</v>
      </c>
      <c r="AA29" t="s">
        <v>61</v>
      </c>
      <c r="AB29" t="s">
        <v>61</v>
      </c>
      <c r="AC29" t="s">
        <v>61</v>
      </c>
      <c r="AD29" t="s">
        <v>61</v>
      </c>
      <c r="AE29" t="s">
        <v>61</v>
      </c>
      <c r="AF29" t="s">
        <v>61</v>
      </c>
      <c r="AG29" t="s">
        <v>61</v>
      </c>
      <c r="AH29" t="s">
        <v>61</v>
      </c>
      <c r="AI29" t="s">
        <v>61</v>
      </c>
      <c r="AJ29">
        <v>25</v>
      </c>
      <c r="AK29" t="b">
        <v>1</v>
      </c>
      <c r="AL29">
        <v>25</v>
      </c>
      <c r="AM29">
        <v>25</v>
      </c>
      <c r="AN29">
        <v>25</v>
      </c>
    </row>
    <row r="30" spans="1:40" x14ac:dyDescent="0.55000000000000004">
      <c r="A30" t="s">
        <v>86</v>
      </c>
      <c r="B30">
        <f t="shared" ca="1" si="0"/>
        <v>896</v>
      </c>
      <c r="C30">
        <f t="shared" ca="1" si="1"/>
        <v>166</v>
      </c>
      <c r="D30">
        <f t="shared" ca="1" si="2"/>
        <v>1</v>
      </c>
      <c r="E30">
        <f t="shared" ca="1" si="3"/>
        <v>-10</v>
      </c>
      <c r="F30">
        <f t="shared" ca="1" si="4"/>
        <v>15</v>
      </c>
      <c r="G30">
        <f t="shared" ca="1" si="4"/>
        <v>15</v>
      </c>
      <c r="H30" t="b">
        <f t="shared" ca="1" si="5"/>
        <v>1</v>
      </c>
      <c r="I30" t="s">
        <v>61</v>
      </c>
      <c r="J30" t="s">
        <v>61</v>
      </c>
      <c r="K30" t="s">
        <v>61</v>
      </c>
      <c r="L30" t="s">
        <v>61</v>
      </c>
      <c r="M30" t="s">
        <v>61</v>
      </c>
      <c r="N30" t="s">
        <v>61</v>
      </c>
      <c r="O30" t="s">
        <v>61</v>
      </c>
      <c r="P30">
        <v>1</v>
      </c>
      <c r="Q30" t="b">
        <v>1</v>
      </c>
      <c r="R30" t="s">
        <v>61</v>
      </c>
      <c r="S30" t="s">
        <v>61</v>
      </c>
      <c r="T30">
        <v>1</v>
      </c>
      <c r="U30" t="b">
        <v>1</v>
      </c>
      <c r="V30" t="s">
        <v>61</v>
      </c>
      <c r="W30" t="s">
        <v>61</v>
      </c>
      <c r="X30" t="s">
        <v>61</v>
      </c>
      <c r="Y30" t="s">
        <v>61</v>
      </c>
      <c r="Z30" t="s">
        <v>61</v>
      </c>
      <c r="AA30" t="s">
        <v>61</v>
      </c>
      <c r="AB30" t="s">
        <v>61</v>
      </c>
      <c r="AC30" t="s">
        <v>61</v>
      </c>
      <c r="AD30" t="s">
        <v>61</v>
      </c>
      <c r="AE30" t="s">
        <v>61</v>
      </c>
      <c r="AF30" t="s">
        <v>61</v>
      </c>
      <c r="AG30" t="s">
        <v>61</v>
      </c>
      <c r="AH30" t="s">
        <v>61</v>
      </c>
      <c r="AI30" t="s">
        <v>61</v>
      </c>
      <c r="AJ30" t="s">
        <v>61</v>
      </c>
      <c r="AK30" t="s">
        <v>61</v>
      </c>
      <c r="AL30" t="s">
        <v>61</v>
      </c>
      <c r="AM30" t="s">
        <v>61</v>
      </c>
      <c r="AN30" t="s">
        <v>61</v>
      </c>
    </row>
    <row r="31" spans="1:40" x14ac:dyDescent="0.55000000000000004">
      <c r="A31" t="s">
        <v>87</v>
      </c>
      <c r="B31">
        <f t="shared" ca="1" si="0"/>
        <v>641</v>
      </c>
      <c r="C31">
        <f t="shared" ca="1" si="1"/>
        <v>167</v>
      </c>
      <c r="D31">
        <f t="shared" ca="1" si="2"/>
        <v>33</v>
      </c>
      <c r="E31">
        <f t="shared" ca="1" si="3"/>
        <v>5</v>
      </c>
      <c r="F31">
        <f t="shared" ca="1" si="4"/>
        <v>6</v>
      </c>
      <c r="G31">
        <f t="shared" ca="1" si="4"/>
        <v>4</v>
      </c>
      <c r="H31" t="b">
        <f t="shared" ca="1" si="5"/>
        <v>1</v>
      </c>
      <c r="I31" t="s">
        <v>61</v>
      </c>
      <c r="J31" t="s">
        <v>61</v>
      </c>
      <c r="K31" t="s">
        <v>61</v>
      </c>
      <c r="L31" t="s">
        <v>61</v>
      </c>
      <c r="M31" t="s">
        <v>61</v>
      </c>
      <c r="N31" t="s">
        <v>61</v>
      </c>
      <c r="O31" t="s">
        <v>61</v>
      </c>
      <c r="P31">
        <v>1</v>
      </c>
      <c r="Q31" t="b">
        <v>1</v>
      </c>
      <c r="R31" t="s">
        <v>61</v>
      </c>
      <c r="S31" t="s">
        <v>61</v>
      </c>
      <c r="T31">
        <v>1</v>
      </c>
      <c r="U31" t="b">
        <v>1</v>
      </c>
      <c r="V31" t="s">
        <v>61</v>
      </c>
      <c r="W31" t="s">
        <v>61</v>
      </c>
      <c r="X31">
        <v>1</v>
      </c>
      <c r="Y31" t="b">
        <v>1</v>
      </c>
      <c r="Z31" t="s">
        <v>61</v>
      </c>
      <c r="AA31" t="s">
        <v>61</v>
      </c>
      <c r="AB31" t="s">
        <v>61</v>
      </c>
      <c r="AC31" t="s">
        <v>61</v>
      </c>
      <c r="AD31" t="s">
        <v>61</v>
      </c>
      <c r="AE31" t="s">
        <v>61</v>
      </c>
      <c r="AF31">
        <v>8</v>
      </c>
      <c r="AG31" t="b">
        <v>1</v>
      </c>
      <c r="AH31" t="s">
        <v>61</v>
      </c>
      <c r="AI31" t="s">
        <v>61</v>
      </c>
      <c r="AJ31" t="s">
        <v>61</v>
      </c>
      <c r="AK31" t="s">
        <v>61</v>
      </c>
      <c r="AL31" t="s">
        <v>61</v>
      </c>
      <c r="AM31" t="s">
        <v>61</v>
      </c>
      <c r="AN31" t="s">
        <v>61</v>
      </c>
    </row>
    <row r="32" spans="1:40" x14ac:dyDescent="0.55000000000000004">
      <c r="A32" t="s">
        <v>88</v>
      </c>
      <c r="B32">
        <f t="shared" ca="1" si="0"/>
        <v>782</v>
      </c>
      <c r="C32">
        <f t="shared" ca="1" si="1"/>
        <v>155</v>
      </c>
      <c r="D32">
        <f t="shared" ca="1" si="2"/>
        <v>9</v>
      </c>
      <c r="E32">
        <f t="shared" ca="1" si="3"/>
        <v>-7</v>
      </c>
      <c r="F32">
        <f t="shared" ca="1" si="4"/>
        <v>15</v>
      </c>
      <c r="G32">
        <f t="shared" ca="1" si="4"/>
        <v>17</v>
      </c>
      <c r="H32" t="b">
        <f t="shared" ca="1" si="5"/>
        <v>1</v>
      </c>
      <c r="I32" t="s">
        <v>61</v>
      </c>
      <c r="J32" t="s">
        <v>61</v>
      </c>
      <c r="K32" t="s">
        <v>61</v>
      </c>
      <c r="L32" t="s">
        <v>61</v>
      </c>
      <c r="M32" t="s">
        <v>61</v>
      </c>
      <c r="N32" t="s">
        <v>61</v>
      </c>
      <c r="O32" t="s">
        <v>61</v>
      </c>
      <c r="P32">
        <v>1</v>
      </c>
      <c r="Q32" t="b">
        <v>1</v>
      </c>
      <c r="R32" t="s">
        <v>61</v>
      </c>
      <c r="S32" t="s">
        <v>61</v>
      </c>
      <c r="T32" t="s">
        <v>61</v>
      </c>
      <c r="U32" t="s">
        <v>61</v>
      </c>
      <c r="V32" t="s">
        <v>61</v>
      </c>
      <c r="W32" t="s">
        <v>61</v>
      </c>
      <c r="X32" t="s">
        <v>61</v>
      </c>
      <c r="Y32" t="s">
        <v>61</v>
      </c>
      <c r="Z32" t="s">
        <v>61</v>
      </c>
      <c r="AA32" t="s">
        <v>61</v>
      </c>
      <c r="AB32" t="s">
        <v>61</v>
      </c>
      <c r="AC32" t="s">
        <v>61</v>
      </c>
      <c r="AD32">
        <v>9</v>
      </c>
      <c r="AE32" t="b">
        <v>1</v>
      </c>
      <c r="AF32">
        <v>9</v>
      </c>
      <c r="AG32" t="b">
        <v>1</v>
      </c>
      <c r="AH32" t="s">
        <v>61</v>
      </c>
      <c r="AI32" t="s">
        <v>61</v>
      </c>
      <c r="AJ32" t="s">
        <v>61</v>
      </c>
      <c r="AK32" t="s">
        <v>61</v>
      </c>
      <c r="AL32" t="s">
        <v>61</v>
      </c>
      <c r="AM32" t="s">
        <v>61</v>
      </c>
      <c r="AN32" t="s">
        <v>61</v>
      </c>
    </row>
    <row r="33" spans="1:40" x14ac:dyDescent="0.55000000000000004">
      <c r="A33" t="s">
        <v>89</v>
      </c>
      <c r="B33">
        <f t="shared" ca="1" si="0"/>
        <v>761</v>
      </c>
      <c r="C33">
        <f t="shared" ca="1" si="1"/>
        <v>187</v>
      </c>
      <c r="D33">
        <f t="shared" ca="1" si="2"/>
        <v>34</v>
      </c>
      <c r="E33">
        <f t="shared" ca="1" si="3"/>
        <v>-1</v>
      </c>
      <c r="F33">
        <f t="shared" ca="1" si="4"/>
        <v>15</v>
      </c>
      <c r="G33">
        <f t="shared" ca="1" si="4"/>
        <v>16</v>
      </c>
      <c r="H33" t="b">
        <f t="shared" ca="1" si="5"/>
        <v>0</v>
      </c>
      <c r="I33" t="s">
        <v>61</v>
      </c>
      <c r="J33" t="s">
        <v>61</v>
      </c>
      <c r="K33" t="s">
        <v>61</v>
      </c>
      <c r="L33" t="s">
        <v>61</v>
      </c>
      <c r="M33" t="s">
        <v>61</v>
      </c>
      <c r="N33" t="s">
        <v>61</v>
      </c>
      <c r="O33" t="s">
        <v>61</v>
      </c>
      <c r="P33">
        <v>1</v>
      </c>
      <c r="Q33" t="b">
        <v>1</v>
      </c>
      <c r="R33" t="s">
        <v>61</v>
      </c>
      <c r="S33" t="s">
        <v>61</v>
      </c>
      <c r="T33" t="s">
        <v>61</v>
      </c>
      <c r="U33" t="s">
        <v>61</v>
      </c>
      <c r="V33" t="s">
        <v>61</v>
      </c>
      <c r="W33" t="s">
        <v>61</v>
      </c>
      <c r="X33" t="s">
        <v>61</v>
      </c>
      <c r="Y33" t="s">
        <v>61</v>
      </c>
      <c r="Z33" t="s">
        <v>61</v>
      </c>
      <c r="AA33" t="s">
        <v>61</v>
      </c>
      <c r="AB33" t="s">
        <v>61</v>
      </c>
      <c r="AC33" t="s">
        <v>61</v>
      </c>
      <c r="AD33">
        <v>7</v>
      </c>
      <c r="AE33" t="b">
        <v>1</v>
      </c>
      <c r="AF33">
        <v>3</v>
      </c>
      <c r="AG33" t="b">
        <v>1</v>
      </c>
      <c r="AH33" t="s">
        <v>61</v>
      </c>
      <c r="AI33" t="s">
        <v>61</v>
      </c>
      <c r="AJ33" t="s">
        <v>61</v>
      </c>
      <c r="AK33" t="s">
        <v>61</v>
      </c>
      <c r="AL33" t="s">
        <v>61</v>
      </c>
      <c r="AM33" t="s">
        <v>61</v>
      </c>
      <c r="AN33" t="s">
        <v>61</v>
      </c>
    </row>
    <row r="34" spans="1:40" x14ac:dyDescent="0.55000000000000004">
      <c r="A34" t="s">
        <v>90</v>
      </c>
      <c r="B34">
        <f t="shared" ca="1" si="0"/>
        <v>101</v>
      </c>
      <c r="C34">
        <f t="shared" ca="1" si="1"/>
        <v>116</v>
      </c>
      <c r="D34">
        <f t="shared" ca="1" si="2"/>
        <v>8</v>
      </c>
      <c r="E34">
        <f t="shared" ca="1" si="3"/>
        <v>0</v>
      </c>
      <c r="F34">
        <f t="shared" ca="1" si="4"/>
        <v>8</v>
      </c>
      <c r="G34">
        <f t="shared" ca="1" si="4"/>
        <v>13</v>
      </c>
      <c r="H34" t="b">
        <f t="shared" ca="1" si="5"/>
        <v>1</v>
      </c>
      <c r="I34" t="s">
        <v>61</v>
      </c>
      <c r="J34" t="s">
        <v>61</v>
      </c>
      <c r="K34" t="s">
        <v>61</v>
      </c>
      <c r="L34" t="s">
        <v>61</v>
      </c>
      <c r="M34" t="s">
        <v>61</v>
      </c>
      <c r="N34" t="s">
        <v>61</v>
      </c>
      <c r="O34" t="s">
        <v>61</v>
      </c>
      <c r="P34" t="s">
        <v>61</v>
      </c>
      <c r="Q34" t="s">
        <v>61</v>
      </c>
      <c r="R34" t="s">
        <v>61</v>
      </c>
      <c r="S34" t="s">
        <v>61</v>
      </c>
      <c r="T34" t="s">
        <v>61</v>
      </c>
      <c r="U34" t="s">
        <v>61</v>
      </c>
      <c r="V34" t="s">
        <v>61</v>
      </c>
      <c r="W34" t="s">
        <v>61</v>
      </c>
      <c r="X34" t="s">
        <v>61</v>
      </c>
      <c r="Y34" t="s">
        <v>61</v>
      </c>
      <c r="Z34" t="s">
        <v>61</v>
      </c>
      <c r="AA34" t="s">
        <v>61</v>
      </c>
      <c r="AB34" t="s">
        <v>61</v>
      </c>
      <c r="AC34" t="s">
        <v>61</v>
      </c>
      <c r="AD34" t="s">
        <v>61</v>
      </c>
      <c r="AE34" t="s">
        <v>61</v>
      </c>
      <c r="AF34" t="s">
        <v>61</v>
      </c>
      <c r="AG34" t="s">
        <v>61</v>
      </c>
      <c r="AH34" t="s">
        <v>61</v>
      </c>
      <c r="AI34" t="s">
        <v>61</v>
      </c>
      <c r="AJ34" t="s">
        <v>61</v>
      </c>
      <c r="AK34" t="s">
        <v>61</v>
      </c>
      <c r="AL34" t="s">
        <v>61</v>
      </c>
      <c r="AM34" t="s">
        <v>61</v>
      </c>
      <c r="AN34" t="s">
        <v>61</v>
      </c>
    </row>
    <row r="35" spans="1:40" x14ac:dyDescent="0.55000000000000004">
      <c r="A35" t="s">
        <v>91</v>
      </c>
      <c r="B35">
        <f t="shared" ca="1" si="0"/>
        <v>151</v>
      </c>
      <c r="C35">
        <f t="shared" ca="1" si="1"/>
        <v>136</v>
      </c>
      <c r="D35">
        <f t="shared" ca="1" si="2"/>
        <v>25</v>
      </c>
      <c r="E35">
        <f t="shared" ca="1" si="3"/>
        <v>8</v>
      </c>
      <c r="F35">
        <f t="shared" ca="1" si="4"/>
        <v>8</v>
      </c>
      <c r="G35">
        <f t="shared" ca="1" si="4"/>
        <v>1</v>
      </c>
      <c r="H35" t="b">
        <f t="shared" ca="1" si="5"/>
        <v>1</v>
      </c>
      <c r="I35" t="s">
        <v>61</v>
      </c>
      <c r="J35" t="s">
        <v>61</v>
      </c>
      <c r="K35" t="s">
        <v>61</v>
      </c>
      <c r="L35" t="s">
        <v>61</v>
      </c>
      <c r="M35" t="s">
        <v>61</v>
      </c>
      <c r="N35" t="s">
        <v>61</v>
      </c>
      <c r="O35" t="s">
        <v>61</v>
      </c>
      <c r="P35" t="s">
        <v>61</v>
      </c>
      <c r="Q35" t="s">
        <v>61</v>
      </c>
      <c r="R35" t="s">
        <v>61</v>
      </c>
      <c r="S35" t="s">
        <v>61</v>
      </c>
      <c r="T35" t="s">
        <v>61</v>
      </c>
      <c r="U35" t="s">
        <v>61</v>
      </c>
      <c r="V35" t="s">
        <v>61</v>
      </c>
      <c r="W35" t="s">
        <v>61</v>
      </c>
      <c r="X35" t="s">
        <v>61</v>
      </c>
      <c r="Y35" t="s">
        <v>61</v>
      </c>
      <c r="Z35" t="s">
        <v>61</v>
      </c>
      <c r="AA35" t="s">
        <v>61</v>
      </c>
      <c r="AB35" t="s">
        <v>61</v>
      </c>
      <c r="AC35" t="s">
        <v>61</v>
      </c>
      <c r="AD35" t="s">
        <v>61</v>
      </c>
      <c r="AE35" t="s">
        <v>61</v>
      </c>
      <c r="AF35" t="s">
        <v>61</v>
      </c>
      <c r="AG35" t="s">
        <v>61</v>
      </c>
      <c r="AH35" t="s">
        <v>61</v>
      </c>
      <c r="AI35" t="s">
        <v>61</v>
      </c>
      <c r="AJ35" t="s">
        <v>61</v>
      </c>
      <c r="AK35" t="s">
        <v>61</v>
      </c>
      <c r="AL35" t="s">
        <v>61</v>
      </c>
      <c r="AM35" t="s">
        <v>61</v>
      </c>
      <c r="AN35" t="s">
        <v>61</v>
      </c>
    </row>
    <row r="36" spans="1:40" x14ac:dyDescent="0.55000000000000004">
      <c r="A36" t="s">
        <v>92</v>
      </c>
      <c r="B36">
        <f t="shared" ca="1" si="0"/>
        <v>300</v>
      </c>
      <c r="C36">
        <f t="shared" ca="1" si="1"/>
        <v>165</v>
      </c>
      <c r="D36">
        <f t="shared" ca="1" si="2"/>
        <v>1</v>
      </c>
      <c r="E36">
        <f t="shared" ca="1" si="3"/>
        <v>-2</v>
      </c>
      <c r="F36">
        <f t="shared" ca="1" si="4"/>
        <v>17</v>
      </c>
      <c r="G36">
        <f t="shared" ca="1" si="4"/>
        <v>0</v>
      </c>
      <c r="H36" t="b">
        <f t="shared" ca="1" si="5"/>
        <v>1</v>
      </c>
      <c r="I36" t="s">
        <v>61</v>
      </c>
      <c r="J36" t="s">
        <v>61</v>
      </c>
      <c r="K36" t="s">
        <v>61</v>
      </c>
      <c r="L36" t="s">
        <v>61</v>
      </c>
      <c r="M36" t="s">
        <v>61</v>
      </c>
      <c r="N36" t="s">
        <v>61</v>
      </c>
      <c r="O36" t="s">
        <v>61</v>
      </c>
      <c r="P36">
        <v>1</v>
      </c>
      <c r="Q36" t="b">
        <v>1</v>
      </c>
      <c r="R36" t="s">
        <v>61</v>
      </c>
      <c r="S36" t="s">
        <v>61</v>
      </c>
      <c r="T36" t="s">
        <v>61</v>
      </c>
      <c r="U36" t="s">
        <v>61</v>
      </c>
      <c r="V36" t="s">
        <v>61</v>
      </c>
      <c r="W36" t="s">
        <v>61</v>
      </c>
      <c r="X36" t="s">
        <v>61</v>
      </c>
      <c r="Y36" t="s">
        <v>61</v>
      </c>
      <c r="Z36" t="s">
        <v>61</v>
      </c>
      <c r="AA36" t="s">
        <v>61</v>
      </c>
      <c r="AB36" t="s">
        <v>61</v>
      </c>
      <c r="AC36" t="s">
        <v>61</v>
      </c>
      <c r="AD36" t="s">
        <v>61</v>
      </c>
      <c r="AE36" t="s">
        <v>61</v>
      </c>
      <c r="AF36" t="s">
        <v>61</v>
      </c>
      <c r="AG36" t="s">
        <v>61</v>
      </c>
      <c r="AH36" t="s">
        <v>61</v>
      </c>
      <c r="AI36" t="s">
        <v>61</v>
      </c>
      <c r="AJ36" t="s">
        <v>61</v>
      </c>
      <c r="AK36" t="s">
        <v>61</v>
      </c>
      <c r="AL36" t="s">
        <v>61</v>
      </c>
      <c r="AM36" t="s">
        <v>61</v>
      </c>
      <c r="AN36" t="s">
        <v>61</v>
      </c>
    </row>
    <row r="37" spans="1:40" x14ac:dyDescent="0.55000000000000004">
      <c r="A37" t="s">
        <v>93</v>
      </c>
      <c r="B37">
        <f t="shared" ca="1" si="0"/>
        <v>384</v>
      </c>
      <c r="C37">
        <f t="shared" ca="1" si="1"/>
        <v>193</v>
      </c>
      <c r="D37">
        <f t="shared" ca="1" si="2"/>
        <v>2</v>
      </c>
      <c r="E37">
        <f t="shared" ca="1" si="3"/>
        <v>-3</v>
      </c>
      <c r="F37">
        <f t="shared" ca="1" si="4"/>
        <v>14</v>
      </c>
      <c r="G37">
        <f t="shared" ca="1" si="4"/>
        <v>20</v>
      </c>
      <c r="H37" t="b">
        <f t="shared" ca="1" si="5"/>
        <v>1</v>
      </c>
      <c r="I37" t="s">
        <v>61</v>
      </c>
      <c r="J37" t="s">
        <v>61</v>
      </c>
      <c r="K37" t="s">
        <v>61</v>
      </c>
      <c r="L37" t="s">
        <v>61</v>
      </c>
      <c r="M37" t="s">
        <v>61</v>
      </c>
      <c r="N37" t="s">
        <v>61</v>
      </c>
      <c r="O37" t="s">
        <v>61</v>
      </c>
      <c r="P37">
        <v>1</v>
      </c>
      <c r="Q37" t="b">
        <v>1</v>
      </c>
      <c r="R37" t="s">
        <v>61</v>
      </c>
      <c r="S37" t="s">
        <v>61</v>
      </c>
      <c r="T37" t="s">
        <v>61</v>
      </c>
      <c r="U37" t="s">
        <v>61</v>
      </c>
      <c r="V37" t="s">
        <v>61</v>
      </c>
      <c r="W37" t="s">
        <v>61</v>
      </c>
      <c r="X37" t="s">
        <v>61</v>
      </c>
      <c r="Y37" t="s">
        <v>61</v>
      </c>
      <c r="Z37" t="s">
        <v>61</v>
      </c>
      <c r="AA37" t="s">
        <v>61</v>
      </c>
      <c r="AB37" t="s">
        <v>61</v>
      </c>
      <c r="AC37" t="s">
        <v>61</v>
      </c>
      <c r="AD37" t="s">
        <v>61</v>
      </c>
      <c r="AE37" t="s">
        <v>61</v>
      </c>
      <c r="AF37" t="s">
        <v>61</v>
      </c>
      <c r="AG37" t="s">
        <v>61</v>
      </c>
      <c r="AH37" t="s">
        <v>61</v>
      </c>
      <c r="AI37" t="s">
        <v>61</v>
      </c>
      <c r="AJ37" t="s">
        <v>61</v>
      </c>
      <c r="AK37" t="s">
        <v>61</v>
      </c>
      <c r="AL37" t="s">
        <v>61</v>
      </c>
      <c r="AM37" t="s">
        <v>61</v>
      </c>
      <c r="AN37" t="s">
        <v>61</v>
      </c>
    </row>
    <row r="38" spans="1:40" x14ac:dyDescent="0.55000000000000004">
      <c r="A38" t="s">
        <v>94</v>
      </c>
      <c r="B38">
        <f t="shared" ca="1" si="0"/>
        <v>261</v>
      </c>
      <c r="C38">
        <f t="shared" ca="1" si="1"/>
        <v>65</v>
      </c>
      <c r="D38">
        <f t="shared" ca="1" si="2"/>
        <v>21</v>
      </c>
      <c r="E38">
        <f t="shared" ca="1" si="3"/>
        <v>-7</v>
      </c>
      <c r="F38">
        <f t="shared" ca="1" si="4"/>
        <v>6</v>
      </c>
      <c r="G38">
        <f t="shared" ca="1" si="4"/>
        <v>4</v>
      </c>
      <c r="H38" t="b">
        <f t="shared" ca="1" si="5"/>
        <v>0</v>
      </c>
      <c r="I38" t="s">
        <v>61</v>
      </c>
      <c r="J38" t="s">
        <v>61</v>
      </c>
      <c r="K38" t="s">
        <v>61</v>
      </c>
      <c r="L38" t="s">
        <v>61</v>
      </c>
      <c r="M38" t="s">
        <v>61</v>
      </c>
      <c r="N38" t="s">
        <v>61</v>
      </c>
      <c r="O38" t="s">
        <v>61</v>
      </c>
      <c r="P38">
        <v>1</v>
      </c>
      <c r="Q38" t="b">
        <v>1</v>
      </c>
      <c r="R38" t="s">
        <v>61</v>
      </c>
      <c r="S38" t="s">
        <v>61</v>
      </c>
      <c r="T38" t="s">
        <v>61</v>
      </c>
      <c r="U38" t="s">
        <v>61</v>
      </c>
      <c r="V38" t="s">
        <v>61</v>
      </c>
      <c r="W38" t="s">
        <v>61</v>
      </c>
      <c r="X38" t="s">
        <v>61</v>
      </c>
      <c r="Y38" t="s">
        <v>61</v>
      </c>
      <c r="Z38" t="s">
        <v>61</v>
      </c>
      <c r="AA38" t="s">
        <v>61</v>
      </c>
      <c r="AB38" t="s">
        <v>61</v>
      </c>
      <c r="AC38" t="s">
        <v>61</v>
      </c>
      <c r="AD38" t="s">
        <v>61</v>
      </c>
      <c r="AE38" t="s">
        <v>61</v>
      </c>
      <c r="AF38" t="s">
        <v>61</v>
      </c>
      <c r="AG38" t="s">
        <v>61</v>
      </c>
      <c r="AH38" t="s">
        <v>61</v>
      </c>
      <c r="AI38" t="s">
        <v>61</v>
      </c>
      <c r="AJ38" t="s">
        <v>61</v>
      </c>
      <c r="AK38" t="s">
        <v>61</v>
      </c>
      <c r="AL38" t="s">
        <v>61</v>
      </c>
      <c r="AM38" t="s">
        <v>61</v>
      </c>
      <c r="AN38" t="s">
        <v>61</v>
      </c>
    </row>
    <row r="39" spans="1:40" x14ac:dyDescent="0.55000000000000004">
      <c r="A39" t="s">
        <v>95</v>
      </c>
      <c r="B39">
        <f t="shared" ca="1" si="0"/>
        <v>359</v>
      </c>
      <c r="C39">
        <f t="shared" ca="1" si="1"/>
        <v>83</v>
      </c>
      <c r="D39">
        <f t="shared" ca="1" si="2"/>
        <v>25</v>
      </c>
      <c r="E39">
        <f t="shared" ca="1" si="3"/>
        <v>3</v>
      </c>
      <c r="F39">
        <f t="shared" ca="1" si="4"/>
        <v>9</v>
      </c>
      <c r="G39">
        <f ca="1">RANDBETWEEN(0,20)</f>
        <v>18</v>
      </c>
      <c r="H39" t="b">
        <f t="shared" ca="1" si="5"/>
        <v>1</v>
      </c>
      <c r="I39" t="s">
        <v>61</v>
      </c>
      <c r="J39" t="s">
        <v>61</v>
      </c>
      <c r="K39" t="s">
        <v>61</v>
      </c>
      <c r="L39" t="s">
        <v>61</v>
      </c>
      <c r="M39" t="s">
        <v>61</v>
      </c>
      <c r="N39" t="s">
        <v>61</v>
      </c>
      <c r="O39" t="s">
        <v>61</v>
      </c>
      <c r="P39">
        <v>1</v>
      </c>
      <c r="Q39" t="b">
        <v>1</v>
      </c>
      <c r="R39" t="s">
        <v>61</v>
      </c>
      <c r="S39" t="s">
        <v>61</v>
      </c>
      <c r="T39" t="s">
        <v>61</v>
      </c>
      <c r="U39" t="s">
        <v>61</v>
      </c>
      <c r="V39" t="s">
        <v>61</v>
      </c>
      <c r="W39" t="s">
        <v>61</v>
      </c>
      <c r="X39" t="s">
        <v>61</v>
      </c>
      <c r="Y39" t="s">
        <v>61</v>
      </c>
      <c r="Z39" t="s">
        <v>61</v>
      </c>
      <c r="AA39" t="s">
        <v>61</v>
      </c>
      <c r="AB39" t="s">
        <v>61</v>
      </c>
      <c r="AC39" t="s">
        <v>61</v>
      </c>
      <c r="AD39" t="s">
        <v>61</v>
      </c>
      <c r="AE39" t="s">
        <v>61</v>
      </c>
      <c r="AF39" t="s">
        <v>61</v>
      </c>
      <c r="AG39" t="s">
        <v>61</v>
      </c>
      <c r="AH39" t="s">
        <v>61</v>
      </c>
      <c r="AI39" t="s">
        <v>61</v>
      </c>
      <c r="AJ39" t="s">
        <v>61</v>
      </c>
      <c r="AK39" t="s">
        <v>61</v>
      </c>
      <c r="AL39" t="s">
        <v>61</v>
      </c>
      <c r="AM39" t="s">
        <v>61</v>
      </c>
      <c r="AN39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Koch</dc:creator>
  <cp:lastModifiedBy>Kenneth Koch</cp:lastModifiedBy>
  <dcterms:created xsi:type="dcterms:W3CDTF">2015-06-05T18:17:20Z</dcterms:created>
  <dcterms:modified xsi:type="dcterms:W3CDTF">2026-07-20T21:22:24Z</dcterms:modified>
</cp:coreProperties>
</file>