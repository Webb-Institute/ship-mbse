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shelton28\Documents\MATLAB\MBSE\ship-mbse\data\input_tables\"/>
    </mc:Choice>
  </mc:AlternateContent>
  <xr:revisionPtr revIDLastSave="0" documentId="8_{AB4C1E2D-5357-439F-8F0C-43B56C66282C}" xr6:coauthVersionLast="47" xr6:coauthVersionMax="47" xr10:uidLastSave="{00000000-0000-0000-0000-000000000000}"/>
  <bookViews>
    <workbookView xWindow="-28920" yWindow="3360" windowWidth="29040" windowHeight="17520" xr2:uid="{98B5C58D-9CFA-4291-9996-C17FD3CE1B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9" i="1"/>
  <c r="J11" i="1"/>
  <c r="J12" i="1"/>
  <c r="J14" i="1"/>
  <c r="J15" i="1"/>
  <c r="I8" i="1"/>
  <c r="I9" i="1"/>
  <c r="I11" i="1"/>
  <c r="I12" i="1"/>
  <c r="I14" i="1"/>
  <c r="I15" i="1"/>
  <c r="H8" i="1"/>
  <c r="H9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G39" i="1"/>
  <c r="G8" i="1"/>
  <c r="G9" i="1"/>
  <c r="G14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E5" i="1"/>
  <c r="D5" i="1"/>
  <c r="C5" i="1"/>
  <c r="B5" i="1"/>
</calcChain>
</file>

<file path=xl/sharedStrings.xml><?xml version="1.0" encoding="utf-8"?>
<sst xmlns="http://schemas.openxmlformats.org/spreadsheetml/2006/main" count="257" uniqueCount="93">
  <si>
    <t>Profile--&gt;</t>
  </si>
  <si>
    <t>Stereotype--&gt;</t>
  </si>
  <si>
    <t>Property--&gt;</t>
  </si>
  <si>
    <t>Component</t>
  </si>
  <si>
    <t>11X (FRAMING)</t>
  </si>
  <si>
    <t>10X (PLATE)</t>
  </si>
  <si>
    <t>12X (STIFFENERS)</t>
  </si>
  <si>
    <t>21X (PROPULSORS)</t>
  </si>
  <si>
    <t>22X (SHAFTING)</t>
  </si>
  <si>
    <t>23X (POWER TRANSMISSION)</t>
  </si>
  <si>
    <t>30X (GENERATOR SETS)</t>
  </si>
  <si>
    <t>31X (POWER DISTRIBUTION)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</si>
  <si>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</si>
  <si>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</si>
  <si>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</si>
  <si>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</si>
  <si>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</si>
  <si>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</si>
  <si>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</si>
  <si>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</si>
  <si>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</si>
  <si>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</si>
  <si>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</si>
  <si>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</si>
  <si>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</si>
  <si>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</si>
  <si>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</si>
  <si>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</si>
  <si>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</si>
  <si>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61X (SHOPS)</t>
  </si>
  <si>
    <t>62X (LSA)</t>
  </si>
  <si>
    <t>60X (ACCOMODATION)</t>
  </si>
  <si>
    <t>70X (ASW)</t>
  </si>
  <si>
    <t>71X (SS)</t>
  </si>
  <si>
    <t>73X (EW)</t>
  </si>
  <si>
    <t>74X (COUNTERMEASURES)</t>
  </si>
  <si>
    <t>WeightsCentersProfile</t>
  </si>
  <si>
    <t>WeightsCenters</t>
  </si>
  <si>
    <t>Weight</t>
  </si>
  <si>
    <t>LCG</t>
  </si>
  <si>
    <t>VCG</t>
  </si>
  <si>
    <t>TCG</t>
  </si>
  <si>
    <t>(t)</t>
  </si>
  <si>
    <t>(m)</t>
  </si>
  <si>
    <t>ElectricalProfile</t>
  </si>
  <si>
    <t>ElectricalConsumer</t>
  </si>
  <si>
    <t>ElectricalGenerator</t>
  </si>
  <si>
    <t>PowerRequired</t>
  </si>
  <si>
    <t>(kW)</t>
  </si>
  <si>
    <t>PowerGenerated</t>
  </si>
  <si>
    <t>Status</t>
  </si>
  <si>
    <t>On/Off</t>
  </si>
  <si>
    <t>N/A</t>
  </si>
  <si>
    <t>20X (MAIN ENGINE)</t>
  </si>
  <si>
    <t>72X (SA)</t>
  </si>
  <si>
    <t>52X (FUEL)</t>
  </si>
  <si>
    <t>FuelProfile</t>
  </si>
  <si>
    <t>FuelConsumer</t>
  </si>
  <si>
    <t>FuelRequired</t>
  </si>
  <si>
    <t>FuelProducer</t>
  </si>
  <si>
    <t>FuelProduced</t>
  </si>
  <si>
    <t>FuelStored</t>
  </si>
  <si>
    <t>kL/s</t>
  </si>
  <si>
    <t>kL</t>
  </si>
  <si>
    <t>CoolingProfile</t>
  </si>
  <si>
    <t>CoolConsumer</t>
  </si>
  <si>
    <t>CoolProducer</t>
  </si>
  <si>
    <t>CoolConsumed</t>
  </si>
  <si>
    <t>CoolProduced</t>
  </si>
  <si>
    <t>kW</t>
  </si>
  <si>
    <t>WeightMargin</t>
  </si>
  <si>
    <t>%</t>
  </si>
  <si>
    <t>LubeProfile</t>
  </si>
  <si>
    <t>LubeConsumer</t>
  </si>
  <si>
    <t>LubeProducer</t>
  </si>
  <si>
    <t>LubeRequired</t>
  </si>
  <si>
    <t>LubeProduced</t>
  </si>
  <si>
    <t>CompAirProfile</t>
  </si>
  <si>
    <t>AirConsumer</t>
  </si>
  <si>
    <t>AirProducer</t>
  </si>
  <si>
    <t>AirConsumed</t>
  </si>
  <si>
    <t>AirProduced</t>
  </si>
  <si>
    <t>WasteProfile</t>
  </si>
  <si>
    <t>WasteGasProducer</t>
  </si>
  <si>
    <t>WasteSolidProducer</t>
  </si>
  <si>
    <t>WasteWaterProducer</t>
  </si>
  <si>
    <t>WGProduced</t>
  </si>
  <si>
    <t>WSProduced</t>
  </si>
  <si>
    <t>WWProduced</t>
  </si>
  <si>
    <t>WasteReciever</t>
  </si>
  <si>
    <t>WGRecieved</t>
  </si>
  <si>
    <t>WSRecieved</t>
  </si>
  <si>
    <t>WWRecieved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</si>
</sst>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6AF4-A03A-4737-AA76-4B6EFB48ED33}">
  <dimension ref="A1:AK39"/>
  <sheetViews>
    <sheetView tabSelected="1" topLeftCell="Y1" workbookViewId="0">
      <selection activeCell="AJ10" sqref="AJ10"/>
    </sheetView>
  </sheetViews>
  <sheetFormatPr defaultRowHeight="14.25"/>
  <cols>
    <col min="1" max="1" width="29.25" customWidth="1"/>
    <col min="2" max="2" width="19.625" customWidth="1"/>
    <col min="3" max="3" width="22.875" customWidth="1"/>
    <col min="4" max="4" width="22" customWidth="1"/>
    <col min="5" max="6" width="20.375" customWidth="1"/>
    <col min="7" max="7" width="21.75" customWidth="1"/>
    <col min="8" max="8" width="19.5" customWidth="1"/>
    <col min="9" max="9" width="22.375" customWidth="1"/>
    <col min="10" max="10" width="19.25" customWidth="1"/>
    <col min="11" max="11" width="18.125" customWidth="1"/>
    <col min="12" max="12" width="14.25" customWidth="1"/>
    <col min="13" max="13" width="18" customWidth="1"/>
    <col min="14" max="14" width="15.5" customWidth="1"/>
    <col min="15" max="15" width="14.625" customWidth="1"/>
    <col min="16" max="16" width="16.5" customWidth="1"/>
    <col min="17" max="17" width="15.625" customWidth="1"/>
    <col min="18" max="18" width="14.5" customWidth="1"/>
    <col min="19" max="19" width="13.75" customWidth="1"/>
    <col min="20" max="20" width="15.625" customWidth="1"/>
    <col min="21" max="21" width="13.75" customWidth="1"/>
    <col min="22" max="22" width="15.375" customWidth="1"/>
    <col min="23" max="23" width="13.75" customWidth="1"/>
    <col min="24" max="24" width="13.5" customWidth="1"/>
    <col min="25" max="25" width="13.625" customWidth="1"/>
    <col min="26" max="26" width="14.125" customWidth="1"/>
    <col min="27" max="27" width="14.25" customWidth="1"/>
    <col min="28" max="28" width="17.875" customWidth="1"/>
    <col min="29" max="29" width="17.375" customWidth="1"/>
    <col min="30" max="31" width="18.125" customWidth="1"/>
    <col min="32" max="32" width="19.875" customWidth="1"/>
    <col min="33" max="33" width="18.875" customWidth="1"/>
    <col min="34" max="34" width="15.25" customWidth="1"/>
    <col min="35" max="35" width="14.875" customWidth="1"/>
    <col min="36" max="36" width="15" customWidth="1"/>
    <col min="37" max="37" width="13.625" customWidth="1"/>
  </cols>
  <sheetData>
    <row r="1" spans="1:37">
      <c r="A1" t="s">
        <v>0</v>
      </c>
      <c r="B1" t="s">
        <v>36</v>
      </c>
      <c r="C1" t="s">
        <v>36</v>
      </c>
      <c r="D1" t="s">
        <v>36</v>
      </c>
      <c r="E1" t="s">
        <v>36</v>
      </c>
      <c r="F1" t="s">
        <v>36</v>
      </c>
      <c r="G1" t="s">
        <v>44</v>
      </c>
      <c r="H1" t="s">
        <v>44</v>
      </c>
      <c r="I1" t="s">
        <v>44</v>
      </c>
      <c r="J1" t="s">
        <v>44</v>
      </c>
      <c r="K1" t="s">
        <v>56</v>
      </c>
      <c r="L1" t="s">
        <v>56</v>
      </c>
      <c r="M1" t="s">
        <v>56</v>
      </c>
      <c r="N1" t="s">
        <v>56</v>
      </c>
      <c r="O1" t="s">
        <v>56</v>
      </c>
      <c r="P1" t="s">
        <v>64</v>
      </c>
      <c r="Q1" t="s">
        <v>64</v>
      </c>
      <c r="R1" t="s">
        <v>64</v>
      </c>
      <c r="S1" t="s">
        <v>64</v>
      </c>
      <c r="T1" t="s">
        <v>72</v>
      </c>
      <c r="U1" t="s">
        <v>72</v>
      </c>
      <c r="V1" t="s">
        <v>72</v>
      </c>
      <c r="W1" t="s">
        <v>72</v>
      </c>
      <c r="X1" t="s">
        <v>77</v>
      </c>
      <c r="Y1" t="s">
        <v>77</v>
      </c>
      <c r="Z1" t="s">
        <v>77</v>
      </c>
      <c r="AA1" t="s">
        <v>77</v>
      </c>
      <c r="AB1" t="s">
        <v>82</v>
      </c>
      <c r="AC1" t="s">
        <v>82</v>
      </c>
      <c r="AD1" t="s">
        <v>82</v>
      </c>
      <c r="AE1" t="s">
        <v>82</v>
      </c>
      <c r="AF1" t="s">
        <v>82</v>
      </c>
      <c r="AG1" t="s">
        <v>82</v>
      </c>
      <c r="AH1" t="s">
        <v>82</v>
      </c>
      <c r="AI1" t="s">
        <v>82</v>
      </c>
      <c r="AJ1" t="s">
        <v>82</v>
      </c>
      <c r="AK1" t="s">
        <v>82</v>
      </c>
    </row>
    <row r="2" spans="1:37">
      <c r="A2" t="s">
        <v>1</v>
      </c>
      <c r="B2" t="s">
        <v>37</v>
      </c>
      <c r="C2" t="s">
        <v>37</v>
      </c>
      <c r="D2" t="s">
        <v>37</v>
      </c>
      <c r="E2" t="s">
        <v>37</v>
      </c>
      <c r="F2" t="s">
        <v>37</v>
      </c>
      <c r="G2" t="s">
        <v>45</v>
      </c>
      <c r="H2" t="s">
        <v>45</v>
      </c>
      <c r="I2" t="s">
        <v>46</v>
      </c>
      <c r="J2" t="s">
        <v>46</v>
      </c>
      <c r="K2" t="s">
        <v>57</v>
      </c>
      <c r="L2" t="s">
        <v>57</v>
      </c>
      <c r="M2" t="s">
        <v>59</v>
      </c>
      <c r="N2" t="s">
        <v>59</v>
      </c>
      <c r="O2" t="s">
        <v>59</v>
      </c>
      <c r="P2" t="s">
        <v>65</v>
      </c>
      <c r="Q2" t="s">
        <v>65</v>
      </c>
      <c r="R2" t="s">
        <v>66</v>
      </c>
      <c r="S2" t="s">
        <v>66</v>
      </c>
      <c r="T2" t="s">
        <v>73</v>
      </c>
      <c r="U2" t="s">
        <v>73</v>
      </c>
      <c r="V2" t="s">
        <v>74</v>
      </c>
      <c r="W2" t="s">
        <v>74</v>
      </c>
      <c r="X2" t="s">
        <v>78</v>
      </c>
      <c r="Y2" t="s">
        <v>78</v>
      </c>
      <c r="Z2" t="s">
        <v>79</v>
      </c>
      <c r="AA2" t="s">
        <v>79</v>
      </c>
      <c r="AB2" t="s">
        <v>83</v>
      </c>
      <c r="AC2" t="s">
        <v>83</v>
      </c>
      <c r="AD2" t="s">
        <v>84</v>
      </c>
      <c r="AE2" t="s">
        <v>84</v>
      </c>
      <c r="AF2" t="s">
        <v>85</v>
      </c>
      <c r="AG2" t="s">
        <v>85</v>
      </c>
      <c r="AH2" t="s">
        <v>89</v>
      </c>
      <c r="AI2" t="s">
        <v>89</v>
      </c>
      <c r="AJ2" t="s">
        <v>89</v>
      </c>
      <c r="AK2" t="s">
        <v>89</v>
      </c>
    </row>
    <row r="3" spans="1:37">
      <c r="A3" t="s">
        <v>2</v>
      </c>
      <c r="B3" t="s">
        <v>38</v>
      </c>
      <c r="C3" t="s">
        <v>39</v>
      </c>
      <c r="D3" t="s">
        <v>40</v>
      </c>
      <c r="E3" t="s">
        <v>41</v>
      </c>
      <c r="F3" t="s">
        <v>70</v>
      </c>
      <c r="G3" t="s">
        <v>47</v>
      </c>
      <c r="H3" t="s">
        <v>50</v>
      </c>
      <c r="I3" t="s">
        <v>49</v>
      </c>
      <c r="J3" t="s">
        <v>50</v>
      </c>
      <c r="K3" t="s">
        <v>58</v>
      </c>
      <c r="L3" t="s">
        <v>50</v>
      </c>
      <c r="M3" t="s">
        <v>60</v>
      </c>
      <c r="N3" t="s">
        <v>61</v>
      </c>
      <c r="O3" t="s">
        <v>50</v>
      </c>
      <c r="P3" t="s">
        <v>67</v>
      </c>
      <c r="Q3" t="s">
        <v>50</v>
      </c>
      <c r="R3" t="s">
        <v>68</v>
      </c>
      <c r="S3" t="s">
        <v>50</v>
      </c>
      <c r="T3" t="s">
        <v>75</v>
      </c>
      <c r="U3" t="s">
        <v>50</v>
      </c>
      <c r="V3" t="s">
        <v>76</v>
      </c>
      <c r="W3" t="s">
        <v>50</v>
      </c>
      <c r="X3" t="s">
        <v>80</v>
      </c>
      <c r="Y3" t="s">
        <v>50</v>
      </c>
      <c r="Z3" t="s">
        <v>81</v>
      </c>
      <c r="AA3" t="s">
        <v>50</v>
      </c>
      <c r="AB3" t="s">
        <v>86</v>
      </c>
      <c r="AC3" t="s">
        <v>50</v>
      </c>
      <c r="AD3" t="s">
        <v>87</v>
      </c>
      <c r="AE3" t="s">
        <v>50</v>
      </c>
      <c r="AF3" t="s">
        <v>88</v>
      </c>
      <c r="AG3" t="s">
        <v>50</v>
      </c>
      <c r="AH3" t="s">
        <v>90</v>
      </c>
      <c r="AI3" t="s">
        <v>50</v>
      </c>
      <c r="AJ3" t="s">
        <v>91</v>
      </c>
      <c r="AK3" t="s">
        <v>92</v>
      </c>
    </row>
    <row r="4" spans="1:37">
      <c r="A4" t="s">
        <v>3</v>
      </c>
      <c r="B4" t="s">
        <v>42</v>
      </c>
      <c r="C4" t="s">
        <v>43</v>
      </c>
      <c r="D4" t="s">
        <v>43</v>
      </c>
      <c r="E4" t="s">
        <v>43</v>
      </c>
      <c r="F4" t="s">
        <v>71</v>
      </c>
      <c r="G4" t="s">
        <v>48</v>
      </c>
      <c r="H4" t="s">
        <v>51</v>
      </c>
      <c r="I4" t="s">
        <v>48</v>
      </c>
      <c r="J4" t="s">
        <v>51</v>
      </c>
      <c r="K4" t="s">
        <v>62</v>
      </c>
      <c r="L4" t="s">
        <v>51</v>
      </c>
      <c r="M4" t="s">
        <v>62</v>
      </c>
      <c r="N4" t="s">
        <v>63</v>
      </c>
      <c r="O4" t="s">
        <v>51</v>
      </c>
      <c r="P4" t="s">
        <v>69</v>
      </c>
      <c r="Q4" t="s">
        <v>51</v>
      </c>
      <c r="R4" t="s">
        <v>69</v>
      </c>
      <c r="S4" t="s">
        <v>51</v>
      </c>
      <c r="T4" t="s">
        <v>62</v>
      </c>
      <c r="U4" t="s">
        <v>51</v>
      </c>
      <c r="V4" t="s">
        <v>62</v>
      </c>
      <c r="W4" t="s">
        <v>51</v>
      </c>
      <c r="X4" t="s">
        <v>62</v>
      </c>
      <c r="Y4" t="s">
        <v>51</v>
      </c>
      <c r="Z4" t="s">
        <v>62</v>
      </c>
      <c r="AA4" t="s">
        <v>51</v>
      </c>
      <c r="AB4" t="s">
        <v>62</v>
      </c>
      <c r="AC4" t="s">
        <v>51</v>
      </c>
      <c r="AD4" t="s">
        <v>62</v>
      </c>
      <c r="AE4" t="s">
        <v>51</v>
      </c>
      <c r="AF4" t="s">
        <v>62</v>
      </c>
      <c r="AG4" t="s">
        <v>51</v>
      </c>
      <c r="AH4" t="s">
        <v>62</v>
      </c>
      <c r="AI4" t="s">
        <v>51</v>
      </c>
      <c r="AJ4" t="s">
        <v>62</v>
      </c>
      <c r="AK4" t="s">
        <v>62</v>
      </c>
    </row>
    <row r="5" spans="1:37">
      <c r="A5" t="s">
        <v>5</v>
      </c>
      <c r="B5">
        <f ca="1">RANDBETWEEN(10,1000)</f>
        <v>284</v>
      </c>
      <c r="C5">
        <f ca="1">RANDBETWEEN(0,200)</f>
        <v>110</v>
      </c>
      <c r="D5">
        <f ca="1">RANDBETWEEN(0,35)</f>
        <v>11</v>
      </c>
      <c r="E5">
        <f ca="1">RANDBETWEEN(-10,10)</f>
        <v>8</v>
      </c>
      <c r="G5" t="s">
        <v>52</v>
      </c>
      <c r="H5" t="s">
        <v>52</v>
      </c>
      <c r="I5" t="s">
        <v>52</v>
      </c>
      <c r="J5" t="s">
        <v>52</v>
      </c>
    </row>
    <row r="6" spans="1:37">
      <c r="A6" t="s">
        <v>4</v>
      </c>
      <c r="B6">
        <f t="shared" ref="B6:B39" ca="1" si="0">RANDBETWEEN(10,1000)</f>
        <v>561</v>
      </c>
      <c r="C6">
        <f t="shared" ref="C6:C39" ca="1" si="1">RANDBETWEEN(0,200)</f>
        <v>6</v>
      </c>
      <c r="D6">
        <f t="shared" ref="D6:D39" ca="1" si="2">RANDBETWEEN(0,35)</f>
        <v>24</v>
      </c>
      <c r="E6">
        <f t="shared" ref="E6:E39" ca="1" si="3">RANDBETWEEN(-10,10)</f>
        <v>8</v>
      </c>
      <c r="G6" t="s">
        <v>52</v>
      </c>
      <c r="H6" t="s">
        <v>52</v>
      </c>
      <c r="I6" t="s">
        <v>52</v>
      </c>
      <c r="J6" t="s">
        <v>52</v>
      </c>
    </row>
    <row r="7" spans="1:37">
      <c r="A7" t="s">
        <v>6</v>
      </c>
      <c r="B7">
        <f t="shared" ca="1" si="0"/>
        <v>61</v>
      </c>
      <c r="C7">
        <f t="shared" ca="1" si="1"/>
        <v>156</v>
      </c>
      <c r="D7">
        <f t="shared" ca="1" si="2"/>
        <v>3</v>
      </c>
      <c r="E7">
        <f t="shared" ca="1" si="3"/>
        <v>10</v>
      </c>
      <c r="G7" t="s">
        <v>52</v>
      </c>
      <c r="H7" t="s">
        <v>52</v>
      </c>
      <c r="I7" t="s">
        <v>52</v>
      </c>
      <c r="J7" t="s">
        <v>52</v>
      </c>
    </row>
    <row r="8" spans="1:37">
      <c r="A8" t="s">
        <v>53</v>
      </c>
      <c r="B8">
        <f t="shared" ca="1" si="0"/>
        <v>885</v>
      </c>
      <c r="C8">
        <f t="shared" ca="1" si="1"/>
        <v>65</v>
      </c>
      <c r="D8">
        <f t="shared" ca="1" si="2"/>
        <v>25</v>
      </c>
      <c r="E8">
        <f t="shared" ca="1" si="3"/>
        <v>-9</v>
      </c>
      <c r="G8">
        <f t="shared" ref="G8:G38" ca="1" si="4">RANDBETWEEN(0,20)</f>
        <v>19</v>
      </c>
      <c r="H8" t="b">
        <f t="shared" ref="H8:H39" ca="1" si="5">IF(RANDBETWEEN(1,2)=1, TRUE, FALSE)</f>
        <v>1</v>
      </c>
      <c r="I8">
        <f t="shared" ref="I8:I15" ca="1" si="6">RANDBETWEEN(100,200)</f>
        <v>164</v>
      </c>
      <c r="J8" t="b">
        <f t="shared" ref="J8:J15" ca="1" si="7">IF(RANDBETWEEN(1,2)=1, TRUE, FALSE)</f>
        <v>0</v>
      </c>
    </row>
    <row r="9" spans="1:37">
      <c r="A9" t="s">
        <v>7</v>
      </c>
      <c r="B9">
        <f t="shared" ca="1" si="0"/>
        <v>454</v>
      </c>
      <c r="C9">
        <f t="shared" ca="1" si="1"/>
        <v>167</v>
      </c>
      <c r="D9">
        <f t="shared" ca="1" si="2"/>
        <v>29</v>
      </c>
      <c r="E9">
        <f t="shared" ca="1" si="3"/>
        <v>6</v>
      </c>
      <c r="G9">
        <f t="shared" ca="1" si="4"/>
        <v>1</v>
      </c>
      <c r="H9" t="b">
        <f t="shared" ca="1" si="5"/>
        <v>1</v>
      </c>
      <c r="I9">
        <f t="shared" ca="1" si="6"/>
        <v>166</v>
      </c>
      <c r="J9" t="b">
        <f t="shared" ca="1" si="7"/>
        <v>1</v>
      </c>
    </row>
    <row r="10" spans="1:37">
      <c r="A10" t="s">
        <v>8</v>
      </c>
      <c r="B10">
        <f t="shared" ca="1" si="0"/>
        <v>828</v>
      </c>
      <c r="C10">
        <f t="shared" ca="1" si="1"/>
        <v>104</v>
      </c>
      <c r="D10">
        <f t="shared" ca="1" si="2"/>
        <v>28</v>
      </c>
      <c r="E10">
        <f t="shared" ca="1" si="3"/>
        <v>-9</v>
      </c>
      <c r="G10" t="s">
        <v>52</v>
      </c>
      <c r="H10" t="s">
        <v>52</v>
      </c>
      <c r="I10" t="s">
        <v>52</v>
      </c>
      <c r="J10" t="s">
        <v>52</v>
      </c>
    </row>
    <row r="11" spans="1:37">
      <c r="A11" t="s">
        <v>9</v>
      </c>
      <c r="B11">
        <f t="shared" ca="1" si="0"/>
        <v>252</v>
      </c>
      <c r="C11">
        <f t="shared" ca="1" si="1"/>
        <v>111</v>
      </c>
      <c r="D11">
        <f t="shared" ca="1" si="2"/>
        <v>7</v>
      </c>
      <c r="E11">
        <f t="shared" ca="1" si="3"/>
        <v>0</v>
      </c>
      <c r="G11" t="s">
        <v>52</v>
      </c>
      <c r="H11" t="s">
        <v>52</v>
      </c>
      <c r="I11">
        <f t="shared" ca="1" si="6"/>
        <v>107</v>
      </c>
      <c r="J11" t="b">
        <f t="shared" ca="1" si="7"/>
        <v>1</v>
      </c>
    </row>
    <row r="12" spans="1:37">
      <c r="A12" t="s">
        <v>10</v>
      </c>
      <c r="B12">
        <f t="shared" ca="1" si="0"/>
        <v>234</v>
      </c>
      <c r="C12">
        <f t="shared" ca="1" si="1"/>
        <v>41</v>
      </c>
      <c r="D12">
        <f t="shared" ca="1" si="2"/>
        <v>18</v>
      </c>
      <c r="E12">
        <f t="shared" ca="1" si="3"/>
        <v>-1</v>
      </c>
      <c r="G12" t="s">
        <v>52</v>
      </c>
      <c r="H12" t="s">
        <v>52</v>
      </c>
      <c r="I12">
        <f t="shared" ca="1" si="6"/>
        <v>179</v>
      </c>
      <c r="J12" t="b">
        <f t="shared" ca="1" si="7"/>
        <v>1</v>
      </c>
    </row>
    <row r="13" spans="1:37">
      <c r="A13" t="s">
        <v>11</v>
      </c>
      <c r="B13">
        <f t="shared" ca="1" si="0"/>
        <v>239</v>
      </c>
      <c r="C13">
        <f t="shared" ca="1" si="1"/>
        <v>174</v>
      </c>
      <c r="D13">
        <f t="shared" ca="1" si="2"/>
        <v>27</v>
      </c>
      <c r="E13">
        <f t="shared" ca="1" si="3"/>
        <v>9</v>
      </c>
      <c r="G13" t="s">
        <v>52</v>
      </c>
      <c r="H13" t="s">
        <v>52</v>
      </c>
      <c r="I13" t="s">
        <v>52</v>
      </c>
      <c r="J13" t="s">
        <v>52</v>
      </c>
    </row>
    <row r="14" spans="1:37">
      <c r="A14" t="s">
        <v>12</v>
      </c>
      <c r="B14">
        <f t="shared" ca="1" si="0"/>
        <v>814</v>
      </c>
      <c r="C14">
        <f t="shared" ca="1" si="1"/>
        <v>57</v>
      </c>
      <c r="D14">
        <f t="shared" ca="1" si="2"/>
        <v>22</v>
      </c>
      <c r="E14">
        <f t="shared" ca="1" si="3"/>
        <v>7</v>
      </c>
      <c r="G14">
        <f t="shared" ca="1" si="4"/>
        <v>12</v>
      </c>
      <c r="H14" t="b">
        <f t="shared" ca="1" si="5"/>
        <v>1</v>
      </c>
      <c r="I14">
        <f t="shared" ca="1" si="6"/>
        <v>162</v>
      </c>
      <c r="J14" t="b">
        <f t="shared" ca="1" si="7"/>
        <v>1</v>
      </c>
    </row>
    <row r="15" spans="1:37">
      <c r="A15" t="s">
        <v>13</v>
      </c>
      <c r="B15">
        <f t="shared" ca="1" si="0"/>
        <v>491</v>
      </c>
      <c r="C15">
        <f t="shared" ca="1" si="1"/>
        <v>45</v>
      </c>
      <c r="D15">
        <f t="shared" ca="1" si="2"/>
        <v>17</v>
      </c>
      <c r="E15">
        <f t="shared" ca="1" si="3"/>
        <v>5</v>
      </c>
      <c r="G15" t="s">
        <v>52</v>
      </c>
      <c r="H15" t="s">
        <v>52</v>
      </c>
      <c r="I15">
        <f t="shared" ca="1" si="6"/>
        <v>181</v>
      </c>
      <c r="J15" t="b">
        <f t="shared" ca="1" si="7"/>
        <v>0</v>
      </c>
    </row>
    <row r="16" spans="1:37">
      <c r="A16" t="s">
        <v>14</v>
      </c>
      <c r="B16">
        <f t="shared" ca="1" si="0"/>
        <v>247</v>
      </c>
      <c r="C16">
        <f t="shared" ca="1" si="1"/>
        <v>169</v>
      </c>
      <c r="D16">
        <f t="shared" ca="1" si="2"/>
        <v>15</v>
      </c>
      <c r="E16">
        <f t="shared" ca="1" si="3"/>
        <v>4</v>
      </c>
      <c r="G16">
        <f t="shared" ca="1" si="4"/>
        <v>20</v>
      </c>
      <c r="H16" t="b">
        <f t="shared" ca="1" si="5"/>
        <v>1</v>
      </c>
      <c r="I16" t="s">
        <v>52</v>
      </c>
      <c r="J16" t="s">
        <v>52</v>
      </c>
    </row>
    <row r="17" spans="1:10">
      <c r="A17" t="s">
        <v>15</v>
      </c>
      <c r="B17">
        <f t="shared" ca="1" si="0"/>
        <v>557</v>
      </c>
      <c r="C17">
        <f t="shared" ca="1" si="1"/>
        <v>69</v>
      </c>
      <c r="D17">
        <f t="shared" ca="1" si="2"/>
        <v>10</v>
      </c>
      <c r="E17">
        <f t="shared" ca="1" si="3"/>
        <v>1</v>
      </c>
      <c r="G17">
        <f t="shared" ca="1" si="4"/>
        <v>1</v>
      </c>
      <c r="H17" t="b">
        <f t="shared" ca="1" si="5"/>
        <v>0</v>
      </c>
      <c r="I17" t="s">
        <v>52</v>
      </c>
      <c r="J17" t="s">
        <v>52</v>
      </c>
    </row>
    <row r="18" spans="1:10">
      <c r="A18" t="s">
        <v>16</v>
      </c>
      <c r="B18">
        <f t="shared" ca="1" si="0"/>
        <v>981</v>
      </c>
      <c r="C18">
        <f t="shared" ca="1" si="1"/>
        <v>90</v>
      </c>
      <c r="D18">
        <f t="shared" ca="1" si="2"/>
        <v>25</v>
      </c>
      <c r="E18">
        <f t="shared" ca="1" si="3"/>
        <v>8</v>
      </c>
      <c r="G18">
        <f t="shared" ca="1" si="4"/>
        <v>11</v>
      </c>
      <c r="H18" t="b">
        <f t="shared" ca="1" si="5"/>
        <v>1</v>
      </c>
      <c r="I18" t="s">
        <v>52</v>
      </c>
      <c r="J18" t="s">
        <v>52</v>
      </c>
    </row>
    <row r="19" spans="1:10">
      <c r="A19" t="s">
        <v>17</v>
      </c>
      <c r="B19">
        <f t="shared" ca="1" si="0"/>
        <v>639</v>
      </c>
      <c r="C19">
        <f t="shared" ca="1" si="1"/>
        <v>148</v>
      </c>
      <c r="D19">
        <f t="shared" ca="1" si="2"/>
        <v>7</v>
      </c>
      <c r="E19">
        <f t="shared" ca="1" si="3"/>
        <v>4</v>
      </c>
      <c r="G19">
        <f t="shared" ca="1" si="4"/>
        <v>1</v>
      </c>
      <c r="H19" t="b">
        <f t="shared" ca="1" si="5"/>
        <v>0</v>
      </c>
      <c r="I19" t="s">
        <v>52</v>
      </c>
      <c r="J19" t="s">
        <v>52</v>
      </c>
    </row>
    <row r="20" spans="1:10">
      <c r="A20" t="s">
        <v>18</v>
      </c>
      <c r="B20">
        <f t="shared" ca="1" si="0"/>
        <v>385</v>
      </c>
      <c r="C20">
        <f t="shared" ca="1" si="1"/>
        <v>67</v>
      </c>
      <c r="D20">
        <f t="shared" ca="1" si="2"/>
        <v>3</v>
      </c>
      <c r="E20">
        <f t="shared" ca="1" si="3"/>
        <v>2</v>
      </c>
      <c r="G20">
        <f t="shared" ca="1" si="4"/>
        <v>18</v>
      </c>
      <c r="H20" t="b">
        <f t="shared" ca="1" si="5"/>
        <v>0</v>
      </c>
      <c r="I20" t="s">
        <v>52</v>
      </c>
      <c r="J20" t="s">
        <v>52</v>
      </c>
    </row>
    <row r="21" spans="1:10">
      <c r="A21" t="s">
        <v>19</v>
      </c>
      <c r="B21">
        <f t="shared" ca="1" si="0"/>
        <v>743</v>
      </c>
      <c r="C21">
        <f t="shared" ca="1" si="1"/>
        <v>156</v>
      </c>
      <c r="D21">
        <f t="shared" ca="1" si="2"/>
        <v>28</v>
      </c>
      <c r="E21">
        <f t="shared" ca="1" si="3"/>
        <v>10</v>
      </c>
      <c r="G21">
        <f t="shared" ca="1" si="4"/>
        <v>16</v>
      </c>
      <c r="H21" t="b">
        <f t="shared" ca="1" si="5"/>
        <v>1</v>
      </c>
      <c r="I21" t="s">
        <v>52</v>
      </c>
      <c r="J21" t="s">
        <v>52</v>
      </c>
    </row>
    <row r="22" spans="1:10">
      <c r="A22" t="s">
        <v>20</v>
      </c>
      <c r="B22">
        <f t="shared" ca="1" si="0"/>
        <v>872</v>
      </c>
      <c r="C22">
        <f t="shared" ca="1" si="1"/>
        <v>13</v>
      </c>
      <c r="D22">
        <f t="shared" ca="1" si="2"/>
        <v>18</v>
      </c>
      <c r="E22">
        <f t="shared" ca="1" si="3"/>
        <v>8</v>
      </c>
      <c r="G22">
        <f t="shared" ca="1" si="4"/>
        <v>15</v>
      </c>
      <c r="H22" t="b">
        <f t="shared" ca="1" si="5"/>
        <v>0</v>
      </c>
      <c r="I22" t="s">
        <v>52</v>
      </c>
      <c r="J22" t="s">
        <v>52</v>
      </c>
    </row>
    <row r="23" spans="1:10">
      <c r="A23" t="s">
        <v>21</v>
      </c>
      <c r="B23">
        <f t="shared" ca="1" si="0"/>
        <v>896</v>
      </c>
      <c r="C23">
        <f t="shared" ca="1" si="1"/>
        <v>175</v>
      </c>
      <c r="D23">
        <f t="shared" ca="1" si="2"/>
        <v>25</v>
      </c>
      <c r="E23">
        <f t="shared" ca="1" si="3"/>
        <v>2</v>
      </c>
      <c r="G23">
        <f t="shared" ca="1" si="4"/>
        <v>14</v>
      </c>
      <c r="H23" t="b">
        <f t="shared" ca="1" si="5"/>
        <v>1</v>
      </c>
      <c r="I23" t="s">
        <v>52</v>
      </c>
      <c r="J23" t="s">
        <v>52</v>
      </c>
    </row>
    <row r="24" spans="1:10">
      <c r="A24" t="s">
        <v>55</v>
      </c>
      <c r="B24">
        <f t="shared" ca="1" si="0"/>
        <v>596</v>
      </c>
      <c r="C24">
        <f t="shared" ca="1" si="1"/>
        <v>43</v>
      </c>
      <c r="D24">
        <f t="shared" ca="1" si="2"/>
        <v>27</v>
      </c>
      <c r="E24">
        <f t="shared" ca="1" si="3"/>
        <v>9</v>
      </c>
      <c r="G24">
        <f t="shared" ca="1" si="4"/>
        <v>3</v>
      </c>
      <c r="H24" t="b">
        <f t="shared" ca="1" si="5"/>
        <v>0</v>
      </c>
      <c r="I24" t="s">
        <v>52</v>
      </c>
      <c r="J24" t="s">
        <v>52</v>
      </c>
    </row>
    <row r="25" spans="1:10">
      <c r="A25" t="s">
        <v>22</v>
      </c>
      <c r="B25">
        <f t="shared" ca="1" si="0"/>
        <v>360</v>
      </c>
      <c r="C25">
        <f t="shared" ca="1" si="1"/>
        <v>136</v>
      </c>
      <c r="D25">
        <f t="shared" ca="1" si="2"/>
        <v>4</v>
      </c>
      <c r="E25">
        <f t="shared" ca="1" si="3"/>
        <v>4</v>
      </c>
      <c r="G25">
        <f t="shared" ca="1" si="4"/>
        <v>11</v>
      </c>
      <c r="H25" t="b">
        <f t="shared" ca="1" si="5"/>
        <v>0</v>
      </c>
      <c r="I25" t="s">
        <v>52</v>
      </c>
      <c r="J25" t="s">
        <v>52</v>
      </c>
    </row>
    <row r="26" spans="1:10">
      <c r="A26" t="s">
        <v>23</v>
      </c>
      <c r="B26">
        <f t="shared" ca="1" si="0"/>
        <v>484</v>
      </c>
      <c r="C26">
        <f t="shared" ca="1" si="1"/>
        <v>78</v>
      </c>
      <c r="D26">
        <f t="shared" ca="1" si="2"/>
        <v>1</v>
      </c>
      <c r="E26">
        <f t="shared" ca="1" si="3"/>
        <v>0</v>
      </c>
      <c r="G26">
        <f t="shared" ca="1" si="4"/>
        <v>19</v>
      </c>
      <c r="H26" t="b">
        <f t="shared" ca="1" si="5"/>
        <v>1</v>
      </c>
      <c r="I26" t="s">
        <v>52</v>
      </c>
      <c r="J26" t="s">
        <v>52</v>
      </c>
    </row>
    <row r="27" spans="1:10">
      <c r="A27" t="s">
        <v>24</v>
      </c>
      <c r="B27">
        <f t="shared" ca="1" si="0"/>
        <v>262</v>
      </c>
      <c r="C27">
        <f t="shared" ca="1" si="1"/>
        <v>195</v>
      </c>
      <c r="D27">
        <f t="shared" ca="1" si="2"/>
        <v>16</v>
      </c>
      <c r="E27">
        <f t="shared" ca="1" si="3"/>
        <v>2</v>
      </c>
      <c r="G27">
        <f t="shared" ca="1" si="4"/>
        <v>17</v>
      </c>
      <c r="H27" t="b">
        <f t="shared" ca="1" si="5"/>
        <v>0</v>
      </c>
      <c r="I27" t="s">
        <v>52</v>
      </c>
      <c r="J27" t="s">
        <v>52</v>
      </c>
    </row>
    <row r="28" spans="1:10">
      <c r="A28" t="s">
        <v>25</v>
      </c>
      <c r="B28">
        <f t="shared" ca="1" si="0"/>
        <v>345</v>
      </c>
      <c r="C28">
        <f t="shared" ca="1" si="1"/>
        <v>45</v>
      </c>
      <c r="D28">
        <f t="shared" ca="1" si="2"/>
        <v>20</v>
      </c>
      <c r="E28">
        <f t="shared" ca="1" si="3"/>
        <v>-8</v>
      </c>
      <c r="G28">
        <f t="shared" ca="1" si="4"/>
        <v>10</v>
      </c>
      <c r="H28" t="b">
        <f t="shared" ca="1" si="5"/>
        <v>1</v>
      </c>
      <c r="I28" t="s">
        <v>52</v>
      </c>
      <c r="J28" t="s">
        <v>52</v>
      </c>
    </row>
    <row r="29" spans="1:10">
      <c r="A29" t="s">
        <v>26</v>
      </c>
      <c r="B29">
        <f t="shared" ca="1" si="0"/>
        <v>470</v>
      </c>
      <c r="C29">
        <f t="shared" ca="1" si="1"/>
        <v>109</v>
      </c>
      <c r="D29">
        <f t="shared" ca="1" si="2"/>
        <v>16</v>
      </c>
      <c r="E29">
        <f t="shared" ca="1" si="3"/>
        <v>1</v>
      </c>
      <c r="G29">
        <f t="shared" ca="1" si="4"/>
        <v>7</v>
      </c>
      <c r="H29" t="b">
        <f t="shared" ca="1" si="5"/>
        <v>1</v>
      </c>
      <c r="I29" t="s">
        <v>52</v>
      </c>
      <c r="J29" t="s">
        <v>52</v>
      </c>
    </row>
    <row r="30" spans="1:10">
      <c r="A30" t="s">
        <v>27</v>
      </c>
      <c r="B30">
        <f t="shared" ca="1" si="0"/>
        <v>908</v>
      </c>
      <c r="C30">
        <f t="shared" ca="1" si="1"/>
        <v>58</v>
      </c>
      <c r="D30">
        <f t="shared" ca="1" si="2"/>
        <v>2</v>
      </c>
      <c r="E30">
        <f t="shared" ca="1" si="3"/>
        <v>-7</v>
      </c>
      <c r="G30">
        <f t="shared" ca="1" si="4"/>
        <v>4</v>
      </c>
      <c r="H30" t="b">
        <f t="shared" ca="1" si="5"/>
        <v>1</v>
      </c>
      <c r="I30" t="s">
        <v>52</v>
      </c>
      <c r="J30" t="s">
        <v>52</v>
      </c>
    </row>
    <row r="31" spans="1:10">
      <c r="A31" t="s">
        <v>28</v>
      </c>
      <c r="B31">
        <f t="shared" ca="1" si="0"/>
        <v>170</v>
      </c>
      <c r="C31">
        <f t="shared" ca="1" si="1"/>
        <v>90</v>
      </c>
      <c r="D31">
        <f t="shared" ca="1" si="2"/>
        <v>30</v>
      </c>
      <c r="E31">
        <f t="shared" ca="1" si="3"/>
        <v>-3</v>
      </c>
      <c r="G31">
        <f t="shared" ca="1" si="4"/>
        <v>18</v>
      </c>
      <c r="H31" t="b">
        <f t="shared" ca="1" si="5"/>
        <v>1</v>
      </c>
      <c r="I31" t="s">
        <v>52</v>
      </c>
      <c r="J31" t="s">
        <v>52</v>
      </c>
    </row>
    <row r="32" spans="1:10">
      <c r="A32" t="s">
        <v>31</v>
      </c>
      <c r="B32">
        <f t="shared" ca="1" si="0"/>
        <v>434</v>
      </c>
      <c r="C32">
        <f t="shared" ca="1" si="1"/>
        <v>143</v>
      </c>
      <c r="D32">
        <f t="shared" ca="1" si="2"/>
        <v>11</v>
      </c>
      <c r="E32">
        <f t="shared" ca="1" si="3"/>
        <v>-4</v>
      </c>
      <c r="G32">
        <f t="shared" ca="1" si="4"/>
        <v>4</v>
      </c>
      <c r="H32" t="b">
        <f t="shared" ca="1" si="5"/>
        <v>0</v>
      </c>
      <c r="I32" t="s">
        <v>52</v>
      </c>
      <c r="J32" t="s">
        <v>52</v>
      </c>
    </row>
    <row r="33" spans="1:10">
      <c r="A33" t="s">
        <v>29</v>
      </c>
      <c r="B33">
        <f t="shared" ca="1" si="0"/>
        <v>446</v>
      </c>
      <c r="C33">
        <f t="shared" ca="1" si="1"/>
        <v>191</v>
      </c>
      <c r="D33">
        <f t="shared" ca="1" si="2"/>
        <v>7</v>
      </c>
      <c r="E33">
        <f t="shared" ca="1" si="3"/>
        <v>-2</v>
      </c>
      <c r="G33">
        <f t="shared" ca="1" si="4"/>
        <v>0</v>
      </c>
      <c r="H33" t="b">
        <f t="shared" ca="1" si="5"/>
        <v>1</v>
      </c>
      <c r="I33" t="s">
        <v>52</v>
      </c>
      <c r="J33" t="s">
        <v>52</v>
      </c>
    </row>
    <row r="34" spans="1:10">
      <c r="A34" t="s">
        <v>30</v>
      </c>
      <c r="B34">
        <f t="shared" ca="1" si="0"/>
        <v>147</v>
      </c>
      <c r="C34">
        <f t="shared" ca="1" si="1"/>
        <v>55</v>
      </c>
      <c r="D34">
        <f t="shared" ca="1" si="2"/>
        <v>8</v>
      </c>
      <c r="E34">
        <f t="shared" ca="1" si="3"/>
        <v>-3</v>
      </c>
      <c r="G34">
        <f t="shared" ca="1" si="4"/>
        <v>9</v>
      </c>
      <c r="H34" t="b">
        <f t="shared" ca="1" si="5"/>
        <v>1</v>
      </c>
      <c r="I34" t="s">
        <v>52</v>
      </c>
      <c r="J34" t="s">
        <v>52</v>
      </c>
    </row>
    <row r="35" spans="1:10">
      <c r="A35" t="s">
        <v>32</v>
      </c>
      <c r="B35">
        <f t="shared" ca="1" si="0"/>
        <v>643</v>
      </c>
      <c r="C35">
        <f t="shared" ca="1" si="1"/>
        <v>49</v>
      </c>
      <c r="D35">
        <f t="shared" ca="1" si="2"/>
        <v>1</v>
      </c>
      <c r="E35">
        <f t="shared" ca="1" si="3"/>
        <v>-8</v>
      </c>
      <c r="G35">
        <f t="shared" ca="1" si="4"/>
        <v>17</v>
      </c>
      <c r="H35" t="b">
        <f t="shared" ca="1" si="5"/>
        <v>1</v>
      </c>
      <c r="I35" t="s">
        <v>52</v>
      </c>
      <c r="J35" t="s">
        <v>52</v>
      </c>
    </row>
    <row r="36" spans="1:10">
      <c r="A36" t="s">
        <v>33</v>
      </c>
      <c r="B36">
        <f t="shared" ca="1" si="0"/>
        <v>32</v>
      </c>
      <c r="C36">
        <f t="shared" ca="1" si="1"/>
        <v>22</v>
      </c>
      <c r="D36">
        <f t="shared" ca="1" si="2"/>
        <v>6</v>
      </c>
      <c r="E36">
        <f t="shared" ca="1" si="3"/>
        <v>6</v>
      </c>
      <c r="G36">
        <f t="shared" ca="1" si="4"/>
        <v>15</v>
      </c>
      <c r="H36" t="b">
        <f t="shared" ca="1" si="5"/>
        <v>1</v>
      </c>
      <c r="I36" t="s">
        <v>52</v>
      </c>
      <c r="J36" t="s">
        <v>52</v>
      </c>
    </row>
    <row r="37" spans="1:10">
      <c r="A37" t="s">
        <v>54</v>
      </c>
      <c r="B37">
        <f t="shared" ca="1" si="0"/>
        <v>191</v>
      </c>
      <c r="C37">
        <f t="shared" ca="1" si="1"/>
        <v>119</v>
      </c>
      <c r="D37">
        <f t="shared" ca="1" si="2"/>
        <v>28</v>
      </c>
      <c r="E37">
        <f t="shared" ca="1" si="3"/>
        <v>3</v>
      </c>
      <c r="G37">
        <f t="shared" ca="1" si="4"/>
        <v>13</v>
      </c>
      <c r="H37" t="b">
        <f t="shared" ca="1" si="5"/>
        <v>1</v>
      </c>
      <c r="I37" t="s">
        <v>52</v>
      </c>
      <c r="J37" t="s">
        <v>52</v>
      </c>
    </row>
    <row r="38" spans="1:10">
      <c r="A38" t="s">
        <v>34</v>
      </c>
      <c r="B38">
        <f t="shared" ca="1" si="0"/>
        <v>787</v>
      </c>
      <c r="C38">
        <f t="shared" ca="1" si="1"/>
        <v>119</v>
      </c>
      <c r="D38">
        <f t="shared" ca="1" si="2"/>
        <v>5</v>
      </c>
      <c r="E38">
        <f t="shared" ca="1" si="3"/>
        <v>-8</v>
      </c>
      <c r="G38">
        <f t="shared" ca="1" si="4"/>
        <v>19</v>
      </c>
      <c r="H38" t="b">
        <f t="shared" ca="1" si="5"/>
        <v>1</v>
      </c>
      <c r="I38" t="s">
        <v>52</v>
      </c>
      <c r="J38" t="s">
        <v>52</v>
      </c>
    </row>
    <row r="39" spans="1:10">
      <c r="A39" t="s">
        <v>35</v>
      </c>
      <c r="B39">
        <f t="shared" ca="1" si="0"/>
        <v>185</v>
      </c>
      <c r="C39">
        <f t="shared" ca="1" si="1"/>
        <v>44</v>
      </c>
      <c r="D39">
        <f t="shared" ca="1" si="2"/>
        <v>9</v>
      </c>
      <c r="E39">
        <f t="shared" ca="1" si="3"/>
        <v>-6</v>
      </c>
      <c r="G39">
        <f ca="1">RANDBETWEEN(0,20)</f>
        <v>16</v>
      </c>
      <c r="H39" t="b">
        <f t="shared" ca="1" si="5"/>
        <v>1</v>
      </c>
      <c r="I39" t="s">
        <v>52</v>
      </c>
      <c r="J39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Finn Shelton</cp:lastModifiedBy>
  <dcterms:created xsi:type="dcterms:W3CDTF">2026-07-20T15:03:04Z</dcterms:created>
  <dcterms:modified xsi:type="dcterms:W3CDTF">2026-07-20T19:23:10Z</dcterms:modified>
</cp:coreProperties>
</file>