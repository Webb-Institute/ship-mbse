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8A573428-E3FE-4A25-9104-EEC93DFCA08C}" xr6:coauthVersionLast="47" xr6:coauthVersionMax="47" xr10:uidLastSave="{00000000-0000-0000-0000-000000000000}"/>
  <bookViews>
    <workbookView xWindow="-57720" yWindow="8880" windowWidth="29040" windowHeight="15720" xr2:uid="{C6A8110E-9783-4C21-A24C-8AD0651436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11" i="1" l="1"/>
  <c r="AR12" i="1"/>
  <c r="AR10" i="1"/>
</calcChain>
</file>

<file path=xl/sharedStrings.xml><?xml version="1.0" encoding="utf-8"?>
<sst xmlns="http://schemas.openxmlformats.org/spreadsheetml/2006/main" count="568" uniqueCount="62">
  <si>
    <t>Stereotype--&gt;</t>
  </si>
  <si>
    <t>Property--&gt;</t>
  </si>
  <si>
    <t>Component</t>
  </si>
  <si>
    <t>520 (FUEL INTAKE/RETURN)</t>
  </si>
  <si>
    <t>521 (FUEL STORAGE)</t>
  </si>
  <si>
    <t>522 (FUEL TRANSFER)</t>
  </si>
  <si>
    <t>523 (FUEL CONDITIONING)</t>
  </si>
  <si>
    <t>524 (FUEL DISTRIBUTION)</t>
  </si>
  <si>
    <t>525 (ME FO PIPING)</t>
  </si>
  <si>
    <t>526 (GS FO PIPING)</t>
  </si>
  <si>
    <t>527 (MISSION FO PIPING)</t>
  </si>
  <si>
    <t>528 (FO CONTROL)</t>
  </si>
  <si>
    <t>529 (FO POWER DISTRIBUTION)</t>
  </si>
  <si>
    <t>FuelComponentProfile</t>
  </si>
  <si>
    <t>Controller</t>
  </si>
  <si>
    <t>PowerRequired</t>
  </si>
  <si>
    <t>(kW)</t>
  </si>
  <si>
    <t>Status</t>
  </si>
  <si>
    <t>On/Off</t>
  </si>
  <si>
    <t>CoolConsumption</t>
  </si>
  <si>
    <t>N/A</t>
  </si>
  <si>
    <t>FluidConditioner</t>
  </si>
  <si>
    <t>MaxFlowCapacity</t>
  </si>
  <si>
    <t>(kL/s)</t>
  </si>
  <si>
    <t>PriFlowRate</t>
  </si>
  <si>
    <t>SecFlowRate</t>
  </si>
  <si>
    <t>TerFlowRate</t>
  </si>
  <si>
    <t>LubeConsumption</t>
  </si>
  <si>
    <t>HeatConsumed</t>
  </si>
  <si>
    <t>WasteOilProduced</t>
  </si>
  <si>
    <t>PriFluid</t>
  </si>
  <si>
    <t>SecFluid</t>
  </si>
  <si>
    <t>TerFluid</t>
  </si>
  <si>
    <t>string</t>
  </si>
  <si>
    <t>Heavy Fuel Oil</t>
  </si>
  <si>
    <t>JP-5</t>
  </si>
  <si>
    <t>Marine Diesel Oil</t>
  </si>
  <si>
    <t>Pipe</t>
  </si>
  <si>
    <t>Diameter</t>
  </si>
  <si>
    <t>m</t>
  </si>
  <si>
    <t>Length</t>
  </si>
  <si>
    <t>FlowRate</t>
  </si>
  <si>
    <t>FluidDensity</t>
  </si>
  <si>
    <t>(kg/kL)</t>
  </si>
  <si>
    <t>Fluid</t>
  </si>
  <si>
    <t>cec</t>
  </si>
  <si>
    <t>Pump</t>
  </si>
  <si>
    <t>Tank</t>
  </si>
  <si>
    <t>PrimaryFluidCapacity</t>
  </si>
  <si>
    <t>SecondaryFluidCapacity</t>
  </si>
  <si>
    <t>TertiaryFluidCapacity</t>
  </si>
  <si>
    <t>PrimaryFluidLevel</t>
  </si>
  <si>
    <t>SecondaryFluidLevel</t>
  </si>
  <si>
    <t>TertiaryFluidLevel</t>
  </si>
  <si>
    <t>(kL)</t>
  </si>
  <si>
    <t>WeightsCenters</t>
  </si>
  <si>
    <t>Weight</t>
  </si>
  <si>
    <t>LCG</t>
  </si>
  <si>
    <t>VCG</t>
  </si>
  <si>
    <t>TCG</t>
  </si>
  <si>
    <t>(t)</t>
  </si>
  <si>
    <t>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</si>
</sst>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E388-F52E-43B9-9DE6-5495768A8D8C}">
  <dimension ref="A1:AU14"/>
  <sheetViews>
    <sheetView tabSelected="1" workbookViewId="0">
      <pane xSplit="1" topLeftCell="AE1" activePane="topRight" state="frozen"/>
      <selection pane="topRight" activeCell="AH3" sqref="AH3"/>
    </sheetView>
  </sheetViews>
  <sheetFormatPr defaultRowHeight="14.4" x14ac:dyDescent="0.55000000000000004"/>
  <cols>
    <col min="1" max="1" width="29.1015625" customWidth="1"/>
    <col min="2" max="47" width="20.578125" customWidth="1"/>
  </cols>
  <sheetData>
    <row r="1" spans="1:47" x14ac:dyDescent="0.55000000000000004">
      <c r="A1" t="s">
        <v>45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  <c r="H1" t="s">
        <v>13</v>
      </c>
      <c r="I1" t="s">
        <v>13</v>
      </c>
      <c r="J1" t="s">
        <v>13</v>
      </c>
      <c r="K1" t="s">
        <v>13</v>
      </c>
      <c r="L1" t="s">
        <v>13</v>
      </c>
      <c r="M1" t="s">
        <v>13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13</v>
      </c>
      <c r="U1" t="s">
        <v>13</v>
      </c>
      <c r="V1" t="s">
        <v>13</v>
      </c>
      <c r="W1" t="s">
        <v>13</v>
      </c>
      <c r="X1" t="s">
        <v>13</v>
      </c>
      <c r="Y1" t="s">
        <v>13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13</v>
      </c>
      <c r="AM1" t="s">
        <v>13</v>
      </c>
      <c r="AN1" t="s">
        <v>13</v>
      </c>
      <c r="AO1" t="s">
        <v>13</v>
      </c>
      <c r="AP1" t="s">
        <v>13</v>
      </c>
      <c r="AQ1" t="s">
        <v>13</v>
      </c>
      <c r="AR1" t="s">
        <v>13</v>
      </c>
      <c r="AS1" t="s">
        <v>13</v>
      </c>
      <c r="AT1" t="s">
        <v>13</v>
      </c>
      <c r="AU1" t="s">
        <v>13</v>
      </c>
    </row>
    <row r="2" spans="1:47" x14ac:dyDescent="0.55000000000000004">
      <c r="A2" t="s">
        <v>0</v>
      </c>
      <c r="B2" t="s">
        <v>14</v>
      </c>
      <c r="C2" t="s">
        <v>14</v>
      </c>
      <c r="D2" t="s">
        <v>14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37</v>
      </c>
      <c r="S2" t="s">
        <v>37</v>
      </c>
      <c r="T2" t="s">
        <v>37</v>
      </c>
      <c r="U2" t="s">
        <v>37</v>
      </c>
      <c r="V2" t="s">
        <v>37</v>
      </c>
      <c r="W2" t="s">
        <v>37</v>
      </c>
      <c r="X2" t="s">
        <v>46</v>
      </c>
      <c r="Y2" t="s">
        <v>46</v>
      </c>
      <c r="Z2" t="s">
        <v>46</v>
      </c>
      <c r="AA2" t="s">
        <v>46</v>
      </c>
      <c r="AB2" t="s">
        <v>46</v>
      </c>
      <c r="AC2" t="s">
        <v>46</v>
      </c>
      <c r="AD2" t="s">
        <v>46</v>
      </c>
      <c r="AE2" t="s">
        <v>46</v>
      </c>
      <c r="AF2" t="s">
        <v>46</v>
      </c>
      <c r="AG2" t="s">
        <v>46</v>
      </c>
      <c r="AH2" t="s">
        <v>46</v>
      </c>
      <c r="AI2" t="s">
        <v>47</v>
      </c>
      <c r="AJ2" t="s">
        <v>47</v>
      </c>
      <c r="AK2" t="s">
        <v>47</v>
      </c>
      <c r="AL2" t="s">
        <v>47</v>
      </c>
      <c r="AM2" t="s">
        <v>47</v>
      </c>
      <c r="AN2" t="s">
        <v>47</v>
      </c>
      <c r="AO2" t="s">
        <v>47</v>
      </c>
      <c r="AP2" t="s">
        <v>47</v>
      </c>
      <c r="AQ2" t="s">
        <v>47</v>
      </c>
      <c r="AR2" t="s">
        <v>55</v>
      </c>
      <c r="AS2" t="s">
        <v>55</v>
      </c>
      <c r="AT2" t="s">
        <v>55</v>
      </c>
      <c r="AU2" t="s">
        <v>55</v>
      </c>
    </row>
    <row r="3" spans="1:47" x14ac:dyDescent="0.55000000000000004">
      <c r="A3" t="s">
        <v>1</v>
      </c>
      <c r="B3" t="s">
        <v>15</v>
      </c>
      <c r="C3" t="s">
        <v>17</v>
      </c>
      <c r="D3" t="s">
        <v>19</v>
      </c>
      <c r="E3" t="s">
        <v>15</v>
      </c>
      <c r="F3" t="s">
        <v>22</v>
      </c>
      <c r="G3" t="s">
        <v>24</v>
      </c>
      <c r="H3" t="s">
        <v>25</v>
      </c>
      <c r="I3" t="s">
        <v>26</v>
      </c>
      <c r="J3" t="s">
        <v>27</v>
      </c>
      <c r="K3" t="s">
        <v>19</v>
      </c>
      <c r="L3" t="s">
        <v>28</v>
      </c>
      <c r="M3" t="s">
        <v>29</v>
      </c>
      <c r="N3" t="s">
        <v>17</v>
      </c>
      <c r="O3" t="s">
        <v>30</v>
      </c>
      <c r="P3" t="s">
        <v>31</v>
      </c>
      <c r="Q3" t="s">
        <v>32</v>
      </c>
      <c r="R3" t="s">
        <v>38</v>
      </c>
      <c r="S3" t="s">
        <v>40</v>
      </c>
      <c r="T3" t="s">
        <v>41</v>
      </c>
      <c r="U3" t="s">
        <v>42</v>
      </c>
      <c r="V3" t="s">
        <v>17</v>
      </c>
      <c r="W3" t="s">
        <v>44</v>
      </c>
      <c r="X3" t="s">
        <v>15</v>
      </c>
      <c r="Y3" t="s">
        <v>22</v>
      </c>
      <c r="Z3" t="s">
        <v>24</v>
      </c>
      <c r="AA3" t="s">
        <v>25</v>
      </c>
      <c r="AB3" t="s">
        <v>26</v>
      </c>
      <c r="AC3" t="s">
        <v>27</v>
      </c>
      <c r="AD3" t="s">
        <v>19</v>
      </c>
      <c r="AE3" t="s">
        <v>17</v>
      </c>
      <c r="AF3" t="s">
        <v>30</v>
      </c>
      <c r="AG3" t="s">
        <v>31</v>
      </c>
      <c r="AH3" t="s">
        <v>32</v>
      </c>
      <c r="AI3" t="s">
        <v>48</v>
      </c>
      <c r="AJ3" t="s">
        <v>49</v>
      </c>
      <c r="AK3" t="s">
        <v>50</v>
      </c>
      <c r="AL3" t="s">
        <v>51</v>
      </c>
      <c r="AM3" t="s">
        <v>52</v>
      </c>
      <c r="AN3" t="s">
        <v>53</v>
      </c>
      <c r="AO3" t="s">
        <v>30</v>
      </c>
      <c r="AP3" t="s">
        <v>31</v>
      </c>
      <c r="AQ3" t="s">
        <v>32</v>
      </c>
      <c r="AR3" t="s">
        <v>56</v>
      </c>
      <c r="AS3" t="s">
        <v>57</v>
      </c>
      <c r="AT3" t="s">
        <v>58</v>
      </c>
      <c r="AU3" t="s">
        <v>59</v>
      </c>
    </row>
    <row r="4" spans="1:47" x14ac:dyDescent="0.55000000000000004">
      <c r="A4" t="s">
        <v>2</v>
      </c>
      <c r="B4" t="s">
        <v>16</v>
      </c>
      <c r="C4" t="s">
        <v>18</v>
      </c>
      <c r="D4" t="s">
        <v>16</v>
      </c>
      <c r="E4" t="s">
        <v>16</v>
      </c>
      <c r="F4" t="s">
        <v>23</v>
      </c>
      <c r="G4" t="s">
        <v>23</v>
      </c>
      <c r="H4" t="s">
        <v>23</v>
      </c>
      <c r="I4" t="s">
        <v>23</v>
      </c>
      <c r="J4" t="s">
        <v>23</v>
      </c>
      <c r="K4" t="s">
        <v>16</v>
      </c>
      <c r="L4" t="s">
        <v>16</v>
      </c>
      <c r="M4" t="s">
        <v>23</v>
      </c>
      <c r="N4" t="s">
        <v>18</v>
      </c>
      <c r="O4" t="s">
        <v>33</v>
      </c>
      <c r="P4" t="s">
        <v>33</v>
      </c>
      <c r="Q4" t="s">
        <v>33</v>
      </c>
      <c r="R4" t="s">
        <v>39</v>
      </c>
      <c r="S4" t="s">
        <v>39</v>
      </c>
      <c r="T4" t="s">
        <v>23</v>
      </c>
      <c r="U4" t="s">
        <v>43</v>
      </c>
      <c r="V4" t="s">
        <v>18</v>
      </c>
      <c r="W4" t="s">
        <v>33</v>
      </c>
      <c r="X4" t="s">
        <v>16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16</v>
      </c>
      <c r="AE4" t="s">
        <v>18</v>
      </c>
      <c r="AF4" t="s">
        <v>33</v>
      </c>
      <c r="AG4" t="s">
        <v>33</v>
      </c>
      <c r="AH4" t="s">
        <v>33</v>
      </c>
      <c r="AI4" t="s">
        <v>54</v>
      </c>
      <c r="AJ4" t="s">
        <v>54</v>
      </c>
      <c r="AK4" t="s">
        <v>54</v>
      </c>
      <c r="AL4" t="s">
        <v>54</v>
      </c>
      <c r="AM4" t="s">
        <v>54</v>
      </c>
      <c r="AN4" t="s">
        <v>54</v>
      </c>
      <c r="AO4" t="s">
        <v>33</v>
      </c>
      <c r="AP4" t="s">
        <v>33</v>
      </c>
      <c r="AQ4" t="s">
        <v>33</v>
      </c>
      <c r="AR4" t="s">
        <v>60</v>
      </c>
      <c r="AS4" t="s">
        <v>61</v>
      </c>
      <c r="AT4" t="s">
        <v>61</v>
      </c>
      <c r="AU4" t="s">
        <v>61</v>
      </c>
    </row>
    <row r="5" spans="1:47" x14ac:dyDescent="0.55000000000000004">
      <c r="A5" t="s">
        <v>3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  <c r="AO5" t="s">
        <v>20</v>
      </c>
      <c r="AP5" t="s">
        <v>20</v>
      </c>
      <c r="AQ5" t="s">
        <v>20</v>
      </c>
      <c r="AR5">
        <v>10</v>
      </c>
      <c r="AS5">
        <v>35</v>
      </c>
      <c r="AT5">
        <v>25</v>
      </c>
      <c r="AU5">
        <v>-2</v>
      </c>
    </row>
    <row r="6" spans="1:47" x14ac:dyDescent="0.55000000000000004">
      <c r="A6" t="s">
        <v>4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>
        <v>20000</v>
      </c>
      <c r="AJ6">
        <v>15000</v>
      </c>
      <c r="AK6">
        <v>7750</v>
      </c>
      <c r="AL6">
        <v>18725</v>
      </c>
      <c r="AM6">
        <v>13475</v>
      </c>
      <c r="AN6">
        <v>6850</v>
      </c>
      <c r="AO6" t="s">
        <v>34</v>
      </c>
      <c r="AP6" t="s">
        <v>35</v>
      </c>
      <c r="AQ6" t="s">
        <v>36</v>
      </c>
      <c r="AR6">
        <v>200</v>
      </c>
      <c r="AS6">
        <v>45</v>
      </c>
      <c r="AT6">
        <v>12.5</v>
      </c>
      <c r="AU6">
        <v>0</v>
      </c>
    </row>
    <row r="7" spans="1:47" x14ac:dyDescent="0.55000000000000004">
      <c r="A7" t="s">
        <v>5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>
        <v>5</v>
      </c>
      <c r="Y7">
        <v>10</v>
      </c>
      <c r="Z7">
        <v>5</v>
      </c>
      <c r="AA7">
        <v>3</v>
      </c>
      <c r="AB7">
        <v>1</v>
      </c>
      <c r="AC7">
        <v>1</v>
      </c>
      <c r="AD7">
        <v>4</v>
      </c>
      <c r="AE7" t="b">
        <v>1</v>
      </c>
      <c r="AF7" t="s">
        <v>34</v>
      </c>
      <c r="AG7" t="s">
        <v>35</v>
      </c>
      <c r="AH7" t="s">
        <v>36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  <c r="AO7" t="s">
        <v>20</v>
      </c>
      <c r="AP7" t="s">
        <v>20</v>
      </c>
      <c r="AQ7" t="s">
        <v>20</v>
      </c>
      <c r="AR7">
        <v>6.5</v>
      </c>
      <c r="AS7">
        <v>40</v>
      </c>
      <c r="AT7">
        <v>1</v>
      </c>
      <c r="AU7">
        <v>3</v>
      </c>
    </row>
    <row r="8" spans="1:47" x14ac:dyDescent="0.55000000000000004">
      <c r="A8" t="s">
        <v>6</v>
      </c>
      <c r="B8" t="s">
        <v>20</v>
      </c>
      <c r="C8" t="s">
        <v>20</v>
      </c>
      <c r="D8" t="s">
        <v>20</v>
      </c>
      <c r="E8">
        <v>9</v>
      </c>
      <c r="F8">
        <v>10</v>
      </c>
      <c r="G8">
        <v>5</v>
      </c>
      <c r="H8">
        <v>3</v>
      </c>
      <c r="I8">
        <v>1</v>
      </c>
      <c r="J8">
        <v>2</v>
      </c>
      <c r="K8">
        <v>5</v>
      </c>
      <c r="L8">
        <v>2</v>
      </c>
      <c r="M8">
        <v>0.5</v>
      </c>
      <c r="N8" t="b">
        <v>1</v>
      </c>
      <c r="O8" t="s">
        <v>34</v>
      </c>
      <c r="P8" t="s">
        <v>35</v>
      </c>
      <c r="Q8" t="s">
        <v>36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  <c r="AO8" t="s">
        <v>20</v>
      </c>
      <c r="AP8" t="s">
        <v>20</v>
      </c>
      <c r="AQ8" t="s">
        <v>20</v>
      </c>
      <c r="AR8">
        <v>1.85</v>
      </c>
      <c r="AS8">
        <v>38</v>
      </c>
      <c r="AT8">
        <v>2</v>
      </c>
      <c r="AU8">
        <v>4</v>
      </c>
    </row>
    <row r="9" spans="1:47" x14ac:dyDescent="0.55000000000000004">
      <c r="A9" t="s">
        <v>7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  <c r="I9" t="s">
        <v>20</v>
      </c>
      <c r="J9" t="s">
        <v>20</v>
      </c>
      <c r="K9" t="s">
        <v>20</v>
      </c>
      <c r="L9" t="s">
        <v>20</v>
      </c>
      <c r="M9" t="s">
        <v>20</v>
      </c>
      <c r="N9" t="s">
        <v>20</v>
      </c>
      <c r="O9" t="s">
        <v>20</v>
      </c>
      <c r="P9" t="s">
        <v>20</v>
      </c>
      <c r="Q9" t="s">
        <v>20</v>
      </c>
      <c r="R9" t="s">
        <v>20</v>
      </c>
      <c r="S9" t="s">
        <v>20</v>
      </c>
      <c r="T9" t="s">
        <v>20</v>
      </c>
      <c r="U9" t="s">
        <v>20</v>
      </c>
      <c r="V9" t="s">
        <v>20</v>
      </c>
      <c r="W9" t="s">
        <v>20</v>
      </c>
      <c r="X9">
        <v>13</v>
      </c>
      <c r="Y9">
        <v>10</v>
      </c>
      <c r="Z9">
        <v>5</v>
      </c>
      <c r="AA9">
        <v>3</v>
      </c>
      <c r="AB9">
        <v>1</v>
      </c>
      <c r="AC9">
        <v>3.5</v>
      </c>
      <c r="AD9">
        <v>7</v>
      </c>
      <c r="AE9" t="b">
        <v>1</v>
      </c>
      <c r="AF9" t="s">
        <v>34</v>
      </c>
      <c r="AG9" t="s">
        <v>35</v>
      </c>
      <c r="AH9" t="s">
        <v>36</v>
      </c>
      <c r="AI9" t="s">
        <v>20</v>
      </c>
      <c r="AJ9" t="s">
        <v>20</v>
      </c>
      <c r="AK9" t="s">
        <v>20</v>
      </c>
      <c r="AL9" t="s">
        <v>20</v>
      </c>
      <c r="AM9" t="s">
        <v>20</v>
      </c>
      <c r="AN9" t="s">
        <v>20</v>
      </c>
      <c r="AO9" t="s">
        <v>20</v>
      </c>
      <c r="AP9" t="s">
        <v>20</v>
      </c>
      <c r="AQ9" t="s">
        <v>20</v>
      </c>
      <c r="AR9">
        <v>8.1300000000000008</v>
      </c>
      <c r="AS9">
        <v>32.5</v>
      </c>
      <c r="AT9">
        <v>5</v>
      </c>
      <c r="AU9">
        <v>-3</v>
      </c>
    </row>
    <row r="10" spans="1:47" x14ac:dyDescent="0.55000000000000004">
      <c r="A10" t="s">
        <v>8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>
        <v>0.09</v>
      </c>
      <c r="S10">
        <v>7</v>
      </c>
      <c r="T10">
        <v>5</v>
      </c>
      <c r="U10">
        <v>200</v>
      </c>
      <c r="V10" t="b">
        <v>1</v>
      </c>
      <c r="W10" t="s">
        <v>34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20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  <c r="AO10" t="s">
        <v>20</v>
      </c>
      <c r="AP10" t="s">
        <v>20</v>
      </c>
      <c r="AQ10" t="s">
        <v>20</v>
      </c>
      <c r="AR10">
        <f>S10*0.23</f>
        <v>1.61</v>
      </c>
      <c r="AS10">
        <v>30</v>
      </c>
      <c r="AT10">
        <v>4</v>
      </c>
      <c r="AU10">
        <v>0.2</v>
      </c>
    </row>
    <row r="11" spans="1:47" x14ac:dyDescent="0.55000000000000004">
      <c r="A11" t="s">
        <v>9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>
        <v>7.0000000000000007E-2</v>
      </c>
      <c r="S11">
        <v>16</v>
      </c>
      <c r="T11">
        <v>3</v>
      </c>
      <c r="U11">
        <v>130</v>
      </c>
      <c r="V11" t="b">
        <v>1</v>
      </c>
      <c r="W11" t="s">
        <v>35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  <c r="AO11" t="s">
        <v>20</v>
      </c>
      <c r="AP11" t="s">
        <v>20</v>
      </c>
      <c r="AQ11" t="s">
        <v>20</v>
      </c>
      <c r="AR11">
        <f t="shared" ref="AR11:AR12" si="0">S11*0.23</f>
        <v>3.68</v>
      </c>
      <c r="AS11">
        <v>30</v>
      </c>
      <c r="AT11">
        <v>3</v>
      </c>
      <c r="AU11">
        <v>1</v>
      </c>
    </row>
    <row r="12" spans="1:47" x14ac:dyDescent="0.55000000000000004">
      <c r="A12" t="s">
        <v>10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">
        <v>20</v>
      </c>
      <c r="K12" t="s">
        <v>20</v>
      </c>
      <c r="L12" t="s">
        <v>20</v>
      </c>
      <c r="M12" t="s">
        <v>20</v>
      </c>
      <c r="N12" t="s">
        <v>20</v>
      </c>
      <c r="O12" t="s">
        <v>20</v>
      </c>
      <c r="P12" t="s">
        <v>20</v>
      </c>
      <c r="Q12" t="s">
        <v>20</v>
      </c>
      <c r="R12">
        <v>0.06</v>
      </c>
      <c r="S12">
        <v>30</v>
      </c>
      <c r="T12">
        <v>1</v>
      </c>
      <c r="U12">
        <v>75</v>
      </c>
      <c r="V12" t="b">
        <v>1</v>
      </c>
      <c r="W12" t="s">
        <v>36</v>
      </c>
      <c r="X12" t="s">
        <v>20</v>
      </c>
      <c r="Y12" t="s">
        <v>20</v>
      </c>
      <c r="Z12" t="s">
        <v>20</v>
      </c>
      <c r="AA12" t="s">
        <v>20</v>
      </c>
      <c r="AB12" t="s">
        <v>20</v>
      </c>
      <c r="AC12" t="s">
        <v>20</v>
      </c>
      <c r="AD12" t="s">
        <v>20</v>
      </c>
      <c r="AE12" t="s">
        <v>20</v>
      </c>
      <c r="AF12" t="s">
        <v>20</v>
      </c>
      <c r="AG12" t="s">
        <v>20</v>
      </c>
      <c r="AH12" t="s">
        <v>20</v>
      </c>
      <c r="AI12" t="s">
        <v>20</v>
      </c>
      <c r="AJ12" t="s">
        <v>20</v>
      </c>
      <c r="AK12" t="s">
        <v>20</v>
      </c>
      <c r="AL12" t="s">
        <v>20</v>
      </c>
      <c r="AM12" t="s">
        <v>20</v>
      </c>
      <c r="AN12" t="s">
        <v>20</v>
      </c>
      <c r="AO12" t="s">
        <v>20</v>
      </c>
      <c r="AP12" t="s">
        <v>20</v>
      </c>
      <c r="AQ12" t="s">
        <v>20</v>
      </c>
      <c r="AR12">
        <f t="shared" si="0"/>
        <v>6.9</v>
      </c>
      <c r="AS12">
        <v>30</v>
      </c>
      <c r="AT12">
        <v>10</v>
      </c>
      <c r="AU12">
        <v>-1.2</v>
      </c>
    </row>
    <row r="13" spans="1:47" x14ac:dyDescent="0.55000000000000004">
      <c r="A13" t="s">
        <v>11</v>
      </c>
      <c r="B13">
        <v>2</v>
      </c>
      <c r="C13" t="b">
        <v>1</v>
      </c>
      <c r="D13">
        <v>3</v>
      </c>
      <c r="E13" t="s">
        <v>20</v>
      </c>
      <c r="F13" t="s">
        <v>20</v>
      </c>
      <c r="G13" t="s">
        <v>20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  <c r="AO13" t="s">
        <v>20</v>
      </c>
      <c r="AP13" t="s">
        <v>20</v>
      </c>
      <c r="AQ13" t="s">
        <v>20</v>
      </c>
      <c r="AR13">
        <v>0.6</v>
      </c>
      <c r="AS13">
        <v>26</v>
      </c>
      <c r="AT13">
        <v>7</v>
      </c>
      <c r="AU13">
        <v>0</v>
      </c>
    </row>
    <row r="14" spans="1:47" x14ac:dyDescent="0.55000000000000004">
      <c r="A14" t="s">
        <v>12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t="s">
        <v>20</v>
      </c>
      <c r="M14" t="s">
        <v>20</v>
      </c>
      <c r="N14" t="s">
        <v>20</v>
      </c>
      <c r="O14" t="s">
        <v>20</v>
      </c>
      <c r="P14" t="s">
        <v>20</v>
      </c>
      <c r="Q14" t="s">
        <v>20</v>
      </c>
      <c r="R14" t="s">
        <v>20</v>
      </c>
      <c r="S14" t="s">
        <v>20</v>
      </c>
      <c r="T14" t="s">
        <v>20</v>
      </c>
      <c r="U14" t="s">
        <v>20</v>
      </c>
      <c r="V14" t="s">
        <v>20</v>
      </c>
      <c r="W14" t="s">
        <v>20</v>
      </c>
      <c r="X14" t="s">
        <v>20</v>
      </c>
      <c r="Y14" t="s">
        <v>20</v>
      </c>
      <c r="Z14" t="s">
        <v>20</v>
      </c>
      <c r="AA14" t="s">
        <v>20</v>
      </c>
      <c r="AB14" t="s">
        <v>20</v>
      </c>
      <c r="AC14" t="s">
        <v>20</v>
      </c>
      <c r="AD14" t="s">
        <v>20</v>
      </c>
      <c r="AE14" t="s">
        <v>20</v>
      </c>
      <c r="AF14" t="s">
        <v>20</v>
      </c>
      <c r="AG14" t="s">
        <v>20</v>
      </c>
      <c r="AH14" t="s">
        <v>20</v>
      </c>
      <c r="AI14" t="s">
        <v>20</v>
      </c>
      <c r="AJ14" t="s">
        <v>20</v>
      </c>
      <c r="AK14" t="s">
        <v>20</v>
      </c>
      <c r="AL14" t="s">
        <v>20</v>
      </c>
      <c r="AM14" t="s">
        <v>20</v>
      </c>
      <c r="AN14" t="s">
        <v>20</v>
      </c>
      <c r="AO14" t="s">
        <v>20</v>
      </c>
      <c r="AP14" t="s">
        <v>20</v>
      </c>
      <c r="AQ14" t="s">
        <v>20</v>
      </c>
      <c r="AR14">
        <v>0.34</v>
      </c>
      <c r="AS14">
        <v>25</v>
      </c>
      <c r="AT14">
        <v>8</v>
      </c>
      <c r="AU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2026-07-22T23:24:43Z</dcterms:created>
  <dcterms:modified xsi:type="dcterms:W3CDTF">2026-07-23T19:53:05Z</dcterms:modified>
</cp:coreProperties>
</file>