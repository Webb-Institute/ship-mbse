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"/>
    </mc:Choice>
  </mc:AlternateContent>
  <xr:revisionPtr revIDLastSave="0" documentId="13_ncr:1_{7D74DB7C-B253-4D50-B661-F366B94FC365}" xr6:coauthVersionLast="47" xr6:coauthVersionMax="47" xr10:uidLastSave="{00000000-0000-0000-0000-000000000000}"/>
  <bookViews>
    <workbookView xWindow="-28920" yWindow="859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5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14" i="1"/>
  <c r="D10" i="1"/>
  <c r="D11" i="1"/>
  <c r="D12" i="1"/>
  <c r="D13" i="1"/>
  <c r="D5" i="1"/>
  <c r="D6" i="1"/>
  <c r="D7" i="1"/>
  <c r="D8" i="1"/>
  <c r="D9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H14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16" i="1"/>
  <c r="J13" i="1"/>
  <c r="J8" i="1"/>
  <c r="J9" i="1"/>
  <c r="J10" i="1"/>
  <c r="H8" i="1"/>
  <c r="H19" i="1"/>
  <c r="H9" i="1"/>
  <c r="H10" i="1"/>
  <c r="H13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16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</calcChain>
</file>

<file path=xl/sharedStrings.xml><?xml version="1.0" encoding="utf-8"?>
<sst xmlns="http://schemas.openxmlformats.org/spreadsheetml/2006/main" count="155" uniqueCount="60">
  <si>
    <t>20X (MAIN ENGINE)</t>
  </si>
  <si>
    <t>21X (PROPULSORS)</t>
  </si>
  <si>
    <t>22X (SHAFTING)</t>
  </si>
  <si>
    <t>23X (POWER TRANSMISSION)</t>
  </si>
  <si>
    <t>Component</t>
  </si>
  <si>
    <t>10X (PLATE)</t>
  </si>
  <si>
    <t>12X (STIFFENERS)</t>
  </si>
  <si>
    <t>11X (FRAMING)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</si>
  <si>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</si>
  <si>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</si>
  <si>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</si>
  <si>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</si>
  <si>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</si>
  <si>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</si>
  <si>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</si>
  <si>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</si>
  <si>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</si>
  <si>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</si>
  <si>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52X (FUEL)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</si>
  <si>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</si>
  <si>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</si>
  <si>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</si>
  <si>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</si>
  <si>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</si>
  <si>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</si>
  <si>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</si>
  <si>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60X (ACCOMODATION)</t>
  </si>
  <si>
    <t>61X (SHOPS)</t>
  </si>
  <si>
    <t>62X (LSA)</t>
  </si>
  <si>
    <t>70X (ASW)</t>
  </si>
  <si>
    <t>71X (SS)</t>
  </si>
  <si>
    <t>72X (SA)</t>
  </si>
  <si>
    <t>73X (EW)</t>
  </si>
  <si>
    <t>74X (COUNTERMEASURES)</t>
  </si>
  <si>
    <t xml:space="preserve"> m From Aft Perpendicular</t>
  </si>
  <si>
    <t xml:space="preserve"> m From Baseline</t>
  </si>
  <si>
    <t xml:space="preserve">m From Centerline </t>
  </si>
  <si>
    <t>TCG</t>
  </si>
  <si>
    <t>VCG</t>
  </si>
  <si>
    <t>LCG</t>
  </si>
  <si>
    <t>Weight</t>
  </si>
  <si>
    <t>tonnes</t>
  </si>
  <si>
    <t>Stereotype --&gt;</t>
  </si>
  <si>
    <t>Profile --&gt;</t>
  </si>
  <si>
    <t>ElectricalProfile</t>
  </si>
  <si>
    <t>WeightsCentersProfile</t>
  </si>
  <si>
    <t>WeightsCenters</t>
  </si>
  <si>
    <t>Property --&gt;</t>
  </si>
  <si>
    <t>ElectricalGenerator</t>
  </si>
  <si>
    <t>ElectricalConsumer</t>
  </si>
  <si>
    <t>PowerGenerated</t>
  </si>
  <si>
    <t>Status</t>
  </si>
  <si>
    <t>PowerRequired</t>
  </si>
  <si>
    <t>PowerFactor</t>
  </si>
  <si>
    <t>kW</t>
  </si>
  <si>
    <t>On/Off</t>
  </si>
  <si>
    <t>none</t>
  </si>
  <si>
    <t>N/A</t>
  </si>
  <si>
    <t>31X (POWER DISTRIBUTION)</t>
  </si>
  <si>
    <t>30X (GENERATOR 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</si>
</sst>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tabSelected="1" topLeftCell="A5" workbookViewId="0">
      <selection activeCell="B41" sqref="B41"/>
    </sheetView>
  </sheetViews>
  <sheetFormatPr defaultRowHeight="14.4" x14ac:dyDescent="0.55000000000000004"/>
  <cols>
    <col min="1" max="1" width="26.1015625" customWidth="1"/>
    <col min="2" max="2" width="22.62890625" customWidth="1"/>
    <col min="3" max="3" width="24.62890625" customWidth="1"/>
    <col min="4" max="4" width="24.20703125" customWidth="1"/>
    <col min="5" max="5" width="22.83984375" customWidth="1"/>
    <col min="6" max="6" width="18.734375" customWidth="1"/>
    <col min="7" max="7" width="19.26171875" customWidth="1"/>
    <col min="8" max="8" width="19.3671875" customWidth="1"/>
    <col min="9" max="9" width="25.83984375" customWidth="1"/>
    <col min="10" max="10" width="18.3125" customWidth="1"/>
  </cols>
  <sheetData>
    <row r="1" spans="1:10" x14ac:dyDescent="0.55000000000000004">
      <c r="A1" t="s">
        <v>43</v>
      </c>
      <c r="B1" t="s">
        <v>45</v>
      </c>
      <c r="C1" t="s">
        <v>45</v>
      </c>
      <c r="D1" t="s">
        <v>45</v>
      </c>
      <c r="E1" t="s">
        <v>45</v>
      </c>
      <c r="F1" t="s">
        <v>44</v>
      </c>
      <c r="G1" t="s">
        <v>44</v>
      </c>
      <c r="H1" t="s">
        <v>44</v>
      </c>
      <c r="I1" t="s">
        <v>44</v>
      </c>
      <c r="J1" t="s">
        <v>44</v>
      </c>
    </row>
    <row r="2" spans="1:10" x14ac:dyDescent="0.55000000000000004">
      <c r="A2" t="s">
        <v>42</v>
      </c>
      <c r="B2" t="s">
        <v>46</v>
      </c>
      <c r="C2" t="s">
        <v>46</v>
      </c>
      <c r="D2" t="s">
        <v>46</v>
      </c>
      <c r="E2" t="s">
        <v>46</v>
      </c>
      <c r="F2" t="s">
        <v>48</v>
      </c>
      <c r="G2" t="s">
        <v>48</v>
      </c>
      <c r="H2" t="s">
        <v>49</v>
      </c>
      <c r="I2" t="s">
        <v>49</v>
      </c>
      <c r="J2" t="s">
        <v>49</v>
      </c>
    </row>
    <row r="3" spans="1:10" x14ac:dyDescent="0.55000000000000004">
      <c r="A3" t="s">
        <v>47</v>
      </c>
      <c r="B3" t="s">
        <v>40</v>
      </c>
      <c r="C3" t="s">
        <v>39</v>
      </c>
      <c r="D3" t="s">
        <v>38</v>
      </c>
      <c r="E3" t="s">
        <v>37</v>
      </c>
      <c r="F3" t="s">
        <v>50</v>
      </c>
      <c r="G3" t="s">
        <v>51</v>
      </c>
      <c r="H3" t="s">
        <v>52</v>
      </c>
      <c r="I3" t="s">
        <v>53</v>
      </c>
      <c r="J3" t="s">
        <v>51</v>
      </c>
    </row>
    <row r="4" spans="1:10" x14ac:dyDescent="0.55000000000000004">
      <c r="A4" t="s">
        <v>4</v>
      </c>
      <c r="B4" t="s">
        <v>41</v>
      </c>
      <c r="C4" t="s">
        <v>34</v>
      </c>
      <c r="D4" t="s">
        <v>35</v>
      </c>
      <c r="E4" t="s">
        <v>36</v>
      </c>
      <c r="F4" t="s">
        <v>54</v>
      </c>
      <c r="G4" t="s">
        <v>55</v>
      </c>
      <c r="H4" t="s">
        <v>54</v>
      </c>
      <c r="I4" t="s">
        <v>56</v>
      </c>
      <c r="J4" t="s">
        <v>55</v>
      </c>
    </row>
    <row r="5" spans="1:10" x14ac:dyDescent="0.55000000000000004">
      <c r="A5" t="s">
        <v>5</v>
      </c>
      <c r="B5">
        <f ca="1">RANDBETWEEN(20,750)</f>
        <v>378</v>
      </c>
      <c r="C5">
        <v>100</v>
      </c>
      <c r="D5">
        <f t="shared" ref="D5:D13" ca="1" si="0">RANDBETWEEN(1,5)</f>
        <v>5</v>
      </c>
      <c r="E5">
        <f t="shared" ref="E5:E39" ca="1" si="1">RANDBETWEEN(-10,10)</f>
        <v>-1</v>
      </c>
      <c r="F5" t="s">
        <v>57</v>
      </c>
      <c r="G5" t="s">
        <v>57</v>
      </c>
      <c r="H5" t="s">
        <v>57</v>
      </c>
      <c r="I5" t="s">
        <v>57</v>
      </c>
      <c r="J5" t="s">
        <v>57</v>
      </c>
    </row>
    <row r="6" spans="1:10" x14ac:dyDescent="0.55000000000000004">
      <c r="A6" t="s">
        <v>7</v>
      </c>
      <c r="B6">
        <f t="shared" ref="B6:B39" ca="1" si="2">RANDBETWEEN(20,750)</f>
        <v>452</v>
      </c>
      <c r="C6">
        <f t="shared" ref="B5:E39" ca="1" si="3">RANDBETWEEN(1,100)</f>
        <v>68</v>
      </c>
      <c r="D6">
        <f t="shared" ca="1" si="0"/>
        <v>5</v>
      </c>
      <c r="E6">
        <f t="shared" ca="1" si="1"/>
        <v>1</v>
      </c>
      <c r="F6" t="s">
        <v>57</v>
      </c>
      <c r="G6" t="s">
        <v>57</v>
      </c>
      <c r="H6" t="s">
        <v>57</v>
      </c>
      <c r="I6" t="s">
        <v>57</v>
      </c>
      <c r="J6" t="s">
        <v>57</v>
      </c>
    </row>
    <row r="7" spans="1:10" x14ac:dyDescent="0.55000000000000004">
      <c r="A7" t="s">
        <v>6</v>
      </c>
      <c r="B7">
        <f t="shared" ca="1" si="2"/>
        <v>730</v>
      </c>
      <c r="C7">
        <f t="shared" ca="1" si="3"/>
        <v>24</v>
      </c>
      <c r="D7">
        <f t="shared" ca="1" si="0"/>
        <v>2</v>
      </c>
      <c r="E7">
        <f t="shared" ca="1" si="1"/>
        <v>7</v>
      </c>
      <c r="F7" t="s">
        <v>57</v>
      </c>
      <c r="G7" t="s">
        <v>57</v>
      </c>
      <c r="H7" t="s">
        <v>57</v>
      </c>
      <c r="I7" t="s">
        <v>57</v>
      </c>
      <c r="J7" t="s">
        <v>57</v>
      </c>
    </row>
    <row r="8" spans="1:10" x14ac:dyDescent="0.55000000000000004">
      <c r="A8" t="s">
        <v>0</v>
      </c>
      <c r="B8">
        <f t="shared" ca="1" si="2"/>
        <v>700</v>
      </c>
      <c r="C8">
        <f t="shared" ca="1" si="3"/>
        <v>37</v>
      </c>
      <c r="D8">
        <f t="shared" ca="1" si="0"/>
        <v>5</v>
      </c>
      <c r="E8">
        <f t="shared" ca="1" si="1"/>
        <v>-8</v>
      </c>
      <c r="F8" t="s">
        <v>57</v>
      </c>
      <c r="G8" t="s">
        <v>57</v>
      </c>
      <c r="H8">
        <f t="shared" ref="H8:H10" ca="1" si="4">RANDBETWEEN(1,15)</f>
        <v>13</v>
      </c>
      <c r="I8">
        <v>0.7</v>
      </c>
      <c r="J8" t="b">
        <f ca="1">IF(RAND()&lt;0.5,TRUE,FALSE)</f>
        <v>1</v>
      </c>
    </row>
    <row r="9" spans="1:10" x14ac:dyDescent="0.55000000000000004">
      <c r="A9" t="s">
        <v>1</v>
      </c>
      <c r="B9">
        <f t="shared" ca="1" si="2"/>
        <v>294</v>
      </c>
      <c r="C9">
        <f t="shared" ca="1" si="3"/>
        <v>76</v>
      </c>
      <c r="D9">
        <f ca="1">RANDBETWEEN(1,5)</f>
        <v>5</v>
      </c>
      <c r="E9">
        <f t="shared" ca="1" si="1"/>
        <v>10</v>
      </c>
      <c r="F9" t="s">
        <v>57</v>
      </c>
      <c r="G9" t="s">
        <v>57</v>
      </c>
      <c r="H9">
        <f t="shared" ca="1" si="4"/>
        <v>10</v>
      </c>
      <c r="I9">
        <v>0.2</v>
      </c>
      <c r="J9" t="b">
        <f t="shared" ref="J9:J10" ca="1" si="5">IF(RAND()&lt;0.5,TRUE,FALSE)</f>
        <v>0</v>
      </c>
    </row>
    <row r="10" spans="1:10" x14ac:dyDescent="0.55000000000000004">
      <c r="A10" t="s">
        <v>2</v>
      </c>
      <c r="B10">
        <f t="shared" ca="1" si="2"/>
        <v>344</v>
      </c>
      <c r="C10">
        <f t="shared" ca="1" si="3"/>
        <v>57</v>
      </c>
      <c r="D10">
        <f t="shared" ca="1" si="0"/>
        <v>5</v>
      </c>
      <c r="E10">
        <f t="shared" ca="1" si="1"/>
        <v>-5</v>
      </c>
      <c r="F10" t="s">
        <v>57</v>
      </c>
      <c r="G10" t="s">
        <v>57</v>
      </c>
      <c r="H10">
        <f t="shared" ca="1" si="4"/>
        <v>11</v>
      </c>
      <c r="I10">
        <v>0.9</v>
      </c>
      <c r="J10" t="b">
        <f t="shared" ca="1" si="5"/>
        <v>0</v>
      </c>
    </row>
    <row r="11" spans="1:10" x14ac:dyDescent="0.55000000000000004">
      <c r="A11" t="s">
        <v>3</v>
      </c>
      <c r="B11">
        <f t="shared" ca="1" si="2"/>
        <v>488</v>
      </c>
      <c r="C11">
        <f t="shared" ca="1" si="3"/>
        <v>15</v>
      </c>
      <c r="D11">
        <f t="shared" ca="1" si="0"/>
        <v>1</v>
      </c>
      <c r="E11">
        <f t="shared" ca="1" si="1"/>
        <v>2</v>
      </c>
      <c r="F11">
        <v>7</v>
      </c>
      <c r="G11" t="b">
        <v>0</v>
      </c>
      <c r="H11" t="s">
        <v>57</v>
      </c>
      <c r="I11" t="s">
        <v>57</v>
      </c>
      <c r="J11" t="s">
        <v>57</v>
      </c>
    </row>
    <row r="12" spans="1:10" x14ac:dyDescent="0.55000000000000004">
      <c r="A12" s="1" t="s">
        <v>59</v>
      </c>
      <c r="B12">
        <f t="shared" ca="1" si="2"/>
        <v>430</v>
      </c>
      <c r="C12">
        <f t="shared" ca="1" si="3"/>
        <v>14</v>
      </c>
      <c r="D12">
        <f t="shared" ca="1" si="0"/>
        <v>3</v>
      </c>
      <c r="E12">
        <f t="shared" ca="1" si="1"/>
        <v>5</v>
      </c>
      <c r="F12">
        <v>20</v>
      </c>
      <c r="G12" t="b">
        <v>1</v>
      </c>
      <c r="H12" t="s">
        <v>57</v>
      </c>
      <c r="I12" t="s">
        <v>57</v>
      </c>
      <c r="J12" t="s">
        <v>57</v>
      </c>
    </row>
    <row r="13" spans="1:10" x14ac:dyDescent="0.55000000000000004">
      <c r="A13" s="1" t="s">
        <v>58</v>
      </c>
      <c r="B13">
        <f t="shared" ca="1" si="2"/>
        <v>674</v>
      </c>
      <c r="C13">
        <f t="shared" ca="1" si="3"/>
        <v>58</v>
      </c>
      <c r="D13">
        <f t="shared" ca="1" si="0"/>
        <v>3</v>
      </c>
      <c r="E13">
        <f t="shared" ca="1" si="1"/>
        <v>-2</v>
      </c>
      <c r="F13" t="s">
        <v>57</v>
      </c>
      <c r="G13" t="s">
        <v>57</v>
      </c>
      <c r="H13">
        <f ca="1">RANDBETWEEN(1,15)</f>
        <v>13</v>
      </c>
      <c r="I13">
        <v>0.15</v>
      </c>
      <c r="J13" t="b">
        <f ca="1">IF(RAND()&lt;0.5,TRUE,FALSE)</f>
        <v>0</v>
      </c>
    </row>
    <row r="14" spans="1:10" x14ac:dyDescent="0.55000000000000004">
      <c r="A14" t="s">
        <v>8</v>
      </c>
      <c r="B14">
        <f t="shared" ca="1" si="2"/>
        <v>619</v>
      </c>
      <c r="C14">
        <f t="shared" ca="1" si="3"/>
        <v>48</v>
      </c>
      <c r="D14">
        <f ca="1">RANDBETWEEN(1,30)</f>
        <v>20</v>
      </c>
      <c r="E14">
        <f t="shared" ca="1" si="1"/>
        <v>-6</v>
      </c>
      <c r="F14">
        <v>15</v>
      </c>
      <c r="G14" t="b">
        <v>0</v>
      </c>
      <c r="H14">
        <f ca="1">RANDBETWEEN(1,15)</f>
        <v>3</v>
      </c>
      <c r="I14">
        <v>0.15</v>
      </c>
      <c r="J14" t="b">
        <f ca="1">IF(RAND()&lt;0.5,TRUE,FALSE)</f>
        <v>0</v>
      </c>
    </row>
    <row r="15" spans="1:10" x14ac:dyDescent="0.55000000000000004">
      <c r="A15" t="s">
        <v>9</v>
      </c>
      <c r="B15">
        <f t="shared" ca="1" si="2"/>
        <v>683</v>
      </c>
      <c r="C15">
        <f t="shared" ca="1" si="3"/>
        <v>24</v>
      </c>
      <c r="D15">
        <f t="shared" ref="D15:D39" ca="1" si="6">RANDBETWEEN(1,30)</f>
        <v>17</v>
      </c>
      <c r="E15">
        <f t="shared" ca="1" si="1"/>
        <v>6</v>
      </c>
      <c r="F15">
        <v>12</v>
      </c>
      <c r="G15" t="b">
        <v>1</v>
      </c>
      <c r="H15" t="s">
        <v>57</v>
      </c>
      <c r="I15" t="s">
        <v>57</v>
      </c>
      <c r="J15" t="s">
        <v>57</v>
      </c>
    </row>
    <row r="16" spans="1:10" x14ac:dyDescent="0.55000000000000004">
      <c r="A16" t="s">
        <v>10</v>
      </c>
      <c r="B16">
        <f t="shared" ca="1" si="2"/>
        <v>291</v>
      </c>
      <c r="C16">
        <f t="shared" ca="1" si="3"/>
        <v>44</v>
      </c>
      <c r="D16">
        <f t="shared" ca="1" si="6"/>
        <v>26</v>
      </c>
      <c r="E16">
        <f t="shared" ca="1" si="1"/>
        <v>8</v>
      </c>
      <c r="F16" t="s">
        <v>57</v>
      </c>
      <c r="G16" t="s">
        <v>57</v>
      </c>
      <c r="H16">
        <f ca="1">RANDBETWEEN(1,15)</f>
        <v>7</v>
      </c>
      <c r="I16">
        <v>0.3</v>
      </c>
      <c r="J16" t="b">
        <f ca="1">IF(RAND()&lt;0.5,TRUE,FALSE)</f>
        <v>1</v>
      </c>
    </row>
    <row r="17" spans="1:10" x14ac:dyDescent="0.55000000000000004">
      <c r="A17" t="s">
        <v>11</v>
      </c>
      <c r="B17">
        <f t="shared" ca="1" si="2"/>
        <v>398</v>
      </c>
      <c r="C17">
        <f t="shared" ca="1" si="3"/>
        <v>77</v>
      </c>
      <c r="D17">
        <f t="shared" ca="1" si="6"/>
        <v>6</v>
      </c>
      <c r="E17">
        <f t="shared" ca="1" si="1"/>
        <v>9</v>
      </c>
      <c r="F17" s="1" t="s">
        <v>57</v>
      </c>
      <c r="G17" t="s">
        <v>57</v>
      </c>
      <c r="H17">
        <f t="shared" ref="H17:H39" ca="1" si="7">RANDBETWEEN(1,15)</f>
        <v>15</v>
      </c>
      <c r="I17">
        <v>0.15</v>
      </c>
      <c r="J17" t="b">
        <f t="shared" ref="J17:J39" ca="1" si="8">IF(RAND()&lt;0.5,TRUE,FALSE)</f>
        <v>0</v>
      </c>
    </row>
    <row r="18" spans="1:10" x14ac:dyDescent="0.55000000000000004">
      <c r="A18" t="s">
        <v>12</v>
      </c>
      <c r="B18">
        <f t="shared" ca="1" si="2"/>
        <v>551</v>
      </c>
      <c r="C18">
        <f t="shared" ca="1" si="3"/>
        <v>22</v>
      </c>
      <c r="D18">
        <f t="shared" ca="1" si="6"/>
        <v>27</v>
      </c>
      <c r="E18">
        <f t="shared" ca="1" si="1"/>
        <v>0</v>
      </c>
      <c r="F18" s="1" t="s">
        <v>57</v>
      </c>
      <c r="G18" t="s">
        <v>57</v>
      </c>
      <c r="H18">
        <f t="shared" ca="1" si="7"/>
        <v>5</v>
      </c>
      <c r="I18">
        <v>0.25</v>
      </c>
      <c r="J18" t="b">
        <f t="shared" ca="1" si="8"/>
        <v>1</v>
      </c>
    </row>
    <row r="19" spans="1:10" x14ac:dyDescent="0.55000000000000004">
      <c r="A19" t="s">
        <v>13</v>
      </c>
      <c r="B19">
        <f t="shared" ca="1" si="2"/>
        <v>284</v>
      </c>
      <c r="C19">
        <f t="shared" ca="1" si="3"/>
        <v>95</v>
      </c>
      <c r="D19">
        <f t="shared" ca="1" si="6"/>
        <v>25</v>
      </c>
      <c r="E19">
        <f t="shared" ca="1" si="1"/>
        <v>-3</v>
      </c>
      <c r="F19" t="s">
        <v>57</v>
      </c>
      <c r="G19" t="s">
        <v>57</v>
      </c>
      <c r="H19">
        <f ca="1">RANDBETWEEN(1,15)</f>
        <v>1</v>
      </c>
      <c r="I19">
        <v>0.35</v>
      </c>
      <c r="J19" t="b">
        <f t="shared" ca="1" si="8"/>
        <v>1</v>
      </c>
    </row>
    <row r="20" spans="1:10" x14ac:dyDescent="0.55000000000000004">
      <c r="A20" t="s">
        <v>14</v>
      </c>
      <c r="B20">
        <f t="shared" ca="1" si="2"/>
        <v>76</v>
      </c>
      <c r="C20">
        <f t="shared" ca="1" si="3"/>
        <v>79</v>
      </c>
      <c r="D20">
        <f t="shared" ca="1" si="6"/>
        <v>8</v>
      </c>
      <c r="E20">
        <f t="shared" ca="1" si="1"/>
        <v>-8</v>
      </c>
      <c r="F20" t="s">
        <v>57</v>
      </c>
      <c r="G20" t="s">
        <v>57</v>
      </c>
      <c r="H20">
        <f t="shared" ca="1" si="7"/>
        <v>3</v>
      </c>
      <c r="I20">
        <v>0.85</v>
      </c>
      <c r="J20" t="b">
        <f t="shared" ca="1" si="8"/>
        <v>0</v>
      </c>
    </row>
    <row r="21" spans="1:10" x14ac:dyDescent="0.55000000000000004">
      <c r="A21" t="s">
        <v>15</v>
      </c>
      <c r="B21">
        <f t="shared" ca="1" si="2"/>
        <v>642</v>
      </c>
      <c r="C21">
        <f t="shared" ca="1" si="3"/>
        <v>85</v>
      </c>
      <c r="D21">
        <f t="shared" ca="1" si="6"/>
        <v>24</v>
      </c>
      <c r="E21">
        <f t="shared" ca="1" si="1"/>
        <v>-3</v>
      </c>
      <c r="F21" t="s">
        <v>57</v>
      </c>
      <c r="G21" t="s">
        <v>57</v>
      </c>
      <c r="H21">
        <f t="shared" ca="1" si="7"/>
        <v>5</v>
      </c>
      <c r="I21">
        <v>0.75</v>
      </c>
      <c r="J21" t="b">
        <f t="shared" ca="1" si="8"/>
        <v>1</v>
      </c>
    </row>
    <row r="22" spans="1:10" x14ac:dyDescent="0.55000000000000004">
      <c r="A22" t="s">
        <v>16</v>
      </c>
      <c r="B22">
        <f t="shared" ca="1" si="2"/>
        <v>437</v>
      </c>
      <c r="C22">
        <f t="shared" ca="1" si="3"/>
        <v>19</v>
      </c>
      <c r="D22">
        <f t="shared" ca="1" si="6"/>
        <v>18</v>
      </c>
      <c r="E22">
        <f t="shared" ca="1" si="1"/>
        <v>0</v>
      </c>
      <c r="F22" t="s">
        <v>57</v>
      </c>
      <c r="G22" t="s">
        <v>57</v>
      </c>
      <c r="H22">
        <f t="shared" ca="1" si="7"/>
        <v>11</v>
      </c>
      <c r="I22">
        <v>0.3</v>
      </c>
      <c r="J22" t="b">
        <f t="shared" ca="1" si="8"/>
        <v>0</v>
      </c>
    </row>
    <row r="23" spans="1:10" x14ac:dyDescent="0.55000000000000004">
      <c r="A23" t="s">
        <v>17</v>
      </c>
      <c r="B23">
        <f t="shared" ca="1" si="2"/>
        <v>223</v>
      </c>
      <c r="C23">
        <f t="shared" ca="1" si="3"/>
        <v>70</v>
      </c>
      <c r="D23">
        <f t="shared" ca="1" si="6"/>
        <v>12</v>
      </c>
      <c r="E23">
        <f t="shared" ca="1" si="1"/>
        <v>0</v>
      </c>
      <c r="F23" t="s">
        <v>57</v>
      </c>
      <c r="G23" t="s">
        <v>57</v>
      </c>
      <c r="H23">
        <f t="shared" ca="1" si="7"/>
        <v>6</v>
      </c>
      <c r="I23">
        <v>0.15</v>
      </c>
      <c r="J23" t="b">
        <f t="shared" ca="1" si="8"/>
        <v>0</v>
      </c>
    </row>
    <row r="24" spans="1:10" x14ac:dyDescent="0.55000000000000004">
      <c r="A24" t="s">
        <v>18</v>
      </c>
      <c r="B24">
        <f t="shared" ca="1" si="2"/>
        <v>264</v>
      </c>
      <c r="C24">
        <f t="shared" ca="1" si="3"/>
        <v>9</v>
      </c>
      <c r="D24">
        <f t="shared" ca="1" si="6"/>
        <v>28</v>
      </c>
      <c r="E24">
        <f t="shared" ca="1" si="1"/>
        <v>-4</v>
      </c>
      <c r="F24" t="s">
        <v>57</v>
      </c>
      <c r="G24" t="s">
        <v>57</v>
      </c>
      <c r="H24">
        <f t="shared" ca="1" si="7"/>
        <v>7</v>
      </c>
      <c r="I24">
        <v>0.25</v>
      </c>
      <c r="J24" t="b">
        <f t="shared" ca="1" si="8"/>
        <v>0</v>
      </c>
    </row>
    <row r="25" spans="1:10" x14ac:dyDescent="0.55000000000000004">
      <c r="A25" t="s">
        <v>19</v>
      </c>
      <c r="B25">
        <f t="shared" ca="1" si="2"/>
        <v>356</v>
      </c>
      <c r="C25">
        <f t="shared" ca="1" si="3"/>
        <v>30</v>
      </c>
      <c r="D25">
        <f t="shared" ca="1" si="6"/>
        <v>14</v>
      </c>
      <c r="E25">
        <f t="shared" ca="1" si="1"/>
        <v>-6</v>
      </c>
      <c r="F25" t="s">
        <v>57</v>
      </c>
      <c r="G25" t="s">
        <v>57</v>
      </c>
      <c r="H25">
        <f t="shared" ca="1" si="7"/>
        <v>6</v>
      </c>
      <c r="I25">
        <v>0.35</v>
      </c>
      <c r="J25" t="b">
        <f t="shared" ca="1" si="8"/>
        <v>1</v>
      </c>
    </row>
    <row r="26" spans="1:10" x14ac:dyDescent="0.55000000000000004">
      <c r="A26" t="s">
        <v>20</v>
      </c>
      <c r="B26">
        <f t="shared" ca="1" si="2"/>
        <v>90</v>
      </c>
      <c r="C26">
        <f t="shared" ca="1" si="3"/>
        <v>82</v>
      </c>
      <c r="D26">
        <f t="shared" ca="1" si="6"/>
        <v>14</v>
      </c>
      <c r="E26">
        <f t="shared" ca="1" si="1"/>
        <v>5</v>
      </c>
      <c r="F26" t="s">
        <v>57</v>
      </c>
      <c r="G26" t="s">
        <v>57</v>
      </c>
      <c r="H26">
        <f t="shared" ca="1" si="7"/>
        <v>13</v>
      </c>
      <c r="I26">
        <v>0.85</v>
      </c>
      <c r="J26" t="b">
        <f t="shared" ca="1" si="8"/>
        <v>1</v>
      </c>
    </row>
    <row r="27" spans="1:10" x14ac:dyDescent="0.55000000000000004">
      <c r="A27" t="s">
        <v>21</v>
      </c>
      <c r="B27">
        <f t="shared" ca="1" si="2"/>
        <v>50</v>
      </c>
      <c r="C27">
        <f t="shared" ca="1" si="3"/>
        <v>84</v>
      </c>
      <c r="D27">
        <f t="shared" ca="1" si="6"/>
        <v>29</v>
      </c>
      <c r="E27">
        <f t="shared" ca="1" si="1"/>
        <v>-2</v>
      </c>
      <c r="F27" t="s">
        <v>57</v>
      </c>
      <c r="G27" t="s">
        <v>57</v>
      </c>
      <c r="H27">
        <f t="shared" ca="1" si="7"/>
        <v>1</v>
      </c>
      <c r="I27">
        <v>0.75</v>
      </c>
      <c r="J27" t="b">
        <f t="shared" ca="1" si="8"/>
        <v>0</v>
      </c>
    </row>
    <row r="28" spans="1:10" x14ac:dyDescent="0.55000000000000004">
      <c r="A28" t="s">
        <v>22</v>
      </c>
      <c r="B28">
        <f t="shared" ca="1" si="2"/>
        <v>25</v>
      </c>
      <c r="C28">
        <f t="shared" ca="1" si="3"/>
        <v>59</v>
      </c>
      <c r="D28">
        <f t="shared" ca="1" si="6"/>
        <v>8</v>
      </c>
      <c r="E28">
        <f t="shared" ca="1" si="1"/>
        <v>-6</v>
      </c>
      <c r="F28" t="s">
        <v>57</v>
      </c>
      <c r="G28" t="s">
        <v>57</v>
      </c>
      <c r="H28">
        <f t="shared" ca="1" si="7"/>
        <v>9</v>
      </c>
      <c r="I28">
        <v>0.3</v>
      </c>
      <c r="J28" t="b">
        <f t="shared" ca="1" si="8"/>
        <v>0</v>
      </c>
    </row>
    <row r="29" spans="1:10" x14ac:dyDescent="0.55000000000000004">
      <c r="A29" t="s">
        <v>23</v>
      </c>
      <c r="B29">
        <f t="shared" ca="1" si="2"/>
        <v>340</v>
      </c>
      <c r="C29">
        <f t="shared" ca="1" si="3"/>
        <v>10</v>
      </c>
      <c r="D29">
        <f t="shared" ca="1" si="6"/>
        <v>19</v>
      </c>
      <c r="E29">
        <f t="shared" ca="1" si="1"/>
        <v>-1</v>
      </c>
      <c r="F29" t="s">
        <v>57</v>
      </c>
      <c r="G29" t="s">
        <v>57</v>
      </c>
      <c r="H29">
        <f t="shared" ca="1" si="7"/>
        <v>2</v>
      </c>
      <c r="I29">
        <v>0.15</v>
      </c>
      <c r="J29" t="b">
        <f t="shared" ca="1" si="8"/>
        <v>0</v>
      </c>
    </row>
    <row r="30" spans="1:10" x14ac:dyDescent="0.55000000000000004">
      <c r="A30" t="s">
        <v>24</v>
      </c>
      <c r="B30">
        <f t="shared" ca="1" si="2"/>
        <v>25</v>
      </c>
      <c r="C30">
        <f t="shared" ca="1" si="3"/>
        <v>81</v>
      </c>
      <c r="D30">
        <f t="shared" ca="1" si="6"/>
        <v>10</v>
      </c>
      <c r="E30">
        <f t="shared" ca="1" si="1"/>
        <v>10</v>
      </c>
      <c r="F30" t="s">
        <v>57</v>
      </c>
      <c r="G30" t="s">
        <v>57</v>
      </c>
      <c r="H30">
        <f t="shared" ca="1" si="7"/>
        <v>3</v>
      </c>
      <c r="I30">
        <v>0.25</v>
      </c>
      <c r="J30" t="b">
        <f t="shared" ca="1" si="8"/>
        <v>0</v>
      </c>
    </row>
    <row r="31" spans="1:10" x14ac:dyDescent="0.55000000000000004">
      <c r="A31" t="s">
        <v>25</v>
      </c>
      <c r="B31">
        <f t="shared" ca="1" si="2"/>
        <v>151</v>
      </c>
      <c r="C31">
        <f t="shared" ca="1" si="3"/>
        <v>21</v>
      </c>
      <c r="D31">
        <f t="shared" ca="1" si="6"/>
        <v>25</v>
      </c>
      <c r="E31">
        <f t="shared" ca="1" si="1"/>
        <v>-3</v>
      </c>
      <c r="F31" t="s">
        <v>57</v>
      </c>
      <c r="G31" t="s">
        <v>57</v>
      </c>
      <c r="H31">
        <f t="shared" ca="1" si="7"/>
        <v>8</v>
      </c>
      <c r="I31">
        <v>0.35</v>
      </c>
      <c r="J31" t="b">
        <f t="shared" ca="1" si="8"/>
        <v>1</v>
      </c>
    </row>
    <row r="32" spans="1:10" x14ac:dyDescent="0.55000000000000004">
      <c r="A32" t="s">
        <v>26</v>
      </c>
      <c r="B32">
        <f t="shared" ca="1" si="2"/>
        <v>696</v>
      </c>
      <c r="C32">
        <f t="shared" ca="1" si="3"/>
        <v>7</v>
      </c>
      <c r="D32">
        <f t="shared" ca="1" si="6"/>
        <v>22</v>
      </c>
      <c r="E32">
        <f t="shared" ca="1" si="1"/>
        <v>9</v>
      </c>
      <c r="F32" t="s">
        <v>57</v>
      </c>
      <c r="G32" t="s">
        <v>57</v>
      </c>
      <c r="H32">
        <f t="shared" ca="1" si="7"/>
        <v>10</v>
      </c>
      <c r="I32">
        <v>0.85</v>
      </c>
      <c r="J32" t="b">
        <f t="shared" ca="1" si="8"/>
        <v>1</v>
      </c>
    </row>
    <row r="33" spans="1:10" x14ac:dyDescent="0.55000000000000004">
      <c r="A33" t="s">
        <v>27</v>
      </c>
      <c r="B33">
        <f t="shared" ca="1" si="2"/>
        <v>92</v>
      </c>
      <c r="C33">
        <f t="shared" ca="1" si="3"/>
        <v>96</v>
      </c>
      <c r="D33">
        <f t="shared" ca="1" si="6"/>
        <v>1</v>
      </c>
      <c r="E33">
        <f t="shared" ca="1" si="1"/>
        <v>8</v>
      </c>
      <c r="F33" t="s">
        <v>57</v>
      </c>
      <c r="G33" t="s">
        <v>57</v>
      </c>
      <c r="H33">
        <f t="shared" ca="1" si="7"/>
        <v>12</v>
      </c>
      <c r="I33">
        <v>0.75</v>
      </c>
      <c r="J33" t="b">
        <f t="shared" ca="1" si="8"/>
        <v>1</v>
      </c>
    </row>
    <row r="34" spans="1:10" x14ac:dyDescent="0.55000000000000004">
      <c r="A34" t="s">
        <v>28</v>
      </c>
      <c r="B34">
        <f t="shared" ca="1" si="2"/>
        <v>347</v>
      </c>
      <c r="C34">
        <f t="shared" ca="1" si="3"/>
        <v>3</v>
      </c>
      <c r="D34">
        <f t="shared" ca="1" si="6"/>
        <v>15</v>
      </c>
      <c r="E34">
        <f t="shared" ca="1" si="1"/>
        <v>8</v>
      </c>
      <c r="F34" t="s">
        <v>57</v>
      </c>
      <c r="G34" t="s">
        <v>57</v>
      </c>
      <c r="H34">
        <f t="shared" ca="1" si="7"/>
        <v>13</v>
      </c>
      <c r="I34">
        <v>0.3</v>
      </c>
      <c r="J34" t="b">
        <f t="shared" ca="1" si="8"/>
        <v>1</v>
      </c>
    </row>
    <row r="35" spans="1:10" x14ac:dyDescent="0.55000000000000004">
      <c r="A35" t="s">
        <v>29</v>
      </c>
      <c r="B35">
        <f t="shared" ca="1" si="2"/>
        <v>63</v>
      </c>
      <c r="C35">
        <f t="shared" ca="1" si="3"/>
        <v>8</v>
      </c>
      <c r="D35">
        <f t="shared" ca="1" si="6"/>
        <v>5</v>
      </c>
      <c r="E35">
        <f t="shared" ca="1" si="1"/>
        <v>1</v>
      </c>
      <c r="F35" t="s">
        <v>57</v>
      </c>
      <c r="G35" t="s">
        <v>57</v>
      </c>
      <c r="H35">
        <f t="shared" ca="1" si="7"/>
        <v>15</v>
      </c>
      <c r="I35">
        <v>0.15</v>
      </c>
      <c r="J35" t="b">
        <f t="shared" ca="1" si="8"/>
        <v>1</v>
      </c>
    </row>
    <row r="36" spans="1:10" x14ac:dyDescent="0.55000000000000004">
      <c r="A36" t="s">
        <v>30</v>
      </c>
      <c r="B36">
        <f t="shared" ca="1" si="2"/>
        <v>654</v>
      </c>
      <c r="C36">
        <f t="shared" ca="1" si="3"/>
        <v>68</v>
      </c>
      <c r="D36">
        <f t="shared" ca="1" si="6"/>
        <v>21</v>
      </c>
      <c r="E36">
        <f t="shared" ca="1" si="1"/>
        <v>2</v>
      </c>
      <c r="F36" t="s">
        <v>57</v>
      </c>
      <c r="G36" t="s">
        <v>57</v>
      </c>
      <c r="H36">
        <f t="shared" ca="1" si="7"/>
        <v>12</v>
      </c>
      <c r="I36">
        <v>0.25</v>
      </c>
      <c r="J36" t="b">
        <f t="shared" ca="1" si="8"/>
        <v>1</v>
      </c>
    </row>
    <row r="37" spans="1:10" x14ac:dyDescent="0.55000000000000004">
      <c r="A37" t="s">
        <v>31</v>
      </c>
      <c r="B37">
        <f t="shared" ca="1" si="2"/>
        <v>118</v>
      </c>
      <c r="C37">
        <f t="shared" ca="1" si="3"/>
        <v>26</v>
      </c>
      <c r="D37">
        <f t="shared" ca="1" si="6"/>
        <v>26</v>
      </c>
      <c r="E37">
        <f t="shared" ca="1" si="1"/>
        <v>-5</v>
      </c>
      <c r="F37" t="s">
        <v>57</v>
      </c>
      <c r="G37" t="s">
        <v>57</v>
      </c>
      <c r="H37">
        <f t="shared" ca="1" si="7"/>
        <v>12</v>
      </c>
      <c r="I37">
        <v>0.35</v>
      </c>
      <c r="J37" t="b">
        <f t="shared" ca="1" si="8"/>
        <v>0</v>
      </c>
    </row>
    <row r="38" spans="1:10" x14ac:dyDescent="0.55000000000000004">
      <c r="A38" t="s">
        <v>32</v>
      </c>
      <c r="B38">
        <f t="shared" ca="1" si="2"/>
        <v>593</v>
      </c>
      <c r="C38">
        <f t="shared" ca="1" si="3"/>
        <v>26</v>
      </c>
      <c r="D38">
        <f t="shared" ca="1" si="6"/>
        <v>19</v>
      </c>
      <c r="E38">
        <f t="shared" ca="1" si="1"/>
        <v>7</v>
      </c>
      <c r="F38" t="s">
        <v>57</v>
      </c>
      <c r="G38" t="s">
        <v>57</v>
      </c>
      <c r="H38">
        <f t="shared" ca="1" si="7"/>
        <v>3</v>
      </c>
      <c r="I38">
        <v>0.85</v>
      </c>
      <c r="J38" t="b">
        <f t="shared" ca="1" si="8"/>
        <v>0</v>
      </c>
    </row>
    <row r="39" spans="1:10" x14ac:dyDescent="0.55000000000000004">
      <c r="A39" t="s">
        <v>33</v>
      </c>
      <c r="B39">
        <f t="shared" ca="1" si="2"/>
        <v>470</v>
      </c>
      <c r="C39">
        <f t="shared" ca="1" si="3"/>
        <v>15</v>
      </c>
      <c r="D39">
        <f t="shared" ca="1" si="6"/>
        <v>6</v>
      </c>
      <c r="E39">
        <f t="shared" ca="1" si="1"/>
        <v>-3</v>
      </c>
      <c r="F39" t="s">
        <v>57</v>
      </c>
      <c r="G39" t="s">
        <v>57</v>
      </c>
      <c r="H39">
        <f t="shared" ca="1" si="7"/>
        <v>4</v>
      </c>
      <c r="I39">
        <v>0.75</v>
      </c>
      <c r="J39" t="b">
        <f t="shared" ca="1" si="8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Kenneth Koch</cp:lastModifiedBy>
  <dcterms:created xsi:type="dcterms:W3CDTF">2026-07-17T12:12:05Z</dcterms:created>
  <dcterms:modified xsi:type="dcterms:W3CDTF">2026-07-17T15:21:31Z</dcterms:modified>
</cp:coreProperties>
</file>